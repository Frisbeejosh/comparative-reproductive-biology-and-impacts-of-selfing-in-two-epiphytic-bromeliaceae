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schel\Desktop\JoshF\"/>
    </mc:Choice>
  </mc:AlternateContent>
  <xr:revisionPtr revIDLastSave="0" documentId="8_{EEA1350F-779F-43E9-B418-8585898EB63F}" xr6:coauthVersionLast="47" xr6:coauthVersionMax="47" xr10:uidLastSave="{00000000-0000-0000-0000-000000000000}"/>
  <bookViews>
    <workbookView xWindow="-120" yWindow="-120" windowWidth="15600" windowHeight="11160" xr2:uid="{05F5C808-A5C3-5346-B218-00B41E987CF8}"/>
  </bookViews>
  <sheets>
    <sheet name="Sheet1" sheetId="1" r:id="rId1"/>
    <sheet name="Pup Mas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B3" i="2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65" i="1"/>
  <c r="B2" i="2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</calcChain>
</file>

<file path=xl/sharedStrings.xml><?xml version="1.0" encoding="utf-8"?>
<sst xmlns="http://schemas.openxmlformats.org/spreadsheetml/2006/main" count="1099" uniqueCount="19">
  <si>
    <t>Plant #</t>
  </si>
  <si>
    <t>Flower #</t>
  </si>
  <si>
    <t>Capsule Mass (g)</t>
  </si>
  <si>
    <t>Seed Mass (g)</t>
  </si>
  <si>
    <t>Inflorescence mass</t>
  </si>
  <si>
    <t>Scape length</t>
  </si>
  <si>
    <t>MOM LLL</t>
  </si>
  <si>
    <t>Species</t>
  </si>
  <si>
    <t>High/Low</t>
  </si>
  <si>
    <t>BRIX</t>
  </si>
  <si>
    <t>Self or Outcrossed</t>
  </si>
  <si>
    <t>O</t>
  </si>
  <si>
    <t>S</t>
  </si>
  <si>
    <t>Billbergia</t>
  </si>
  <si>
    <t>Vriesea</t>
  </si>
  <si>
    <t>Veg mass</t>
  </si>
  <si>
    <t>wet pup mass (g)</t>
  </si>
  <si>
    <t>dry pup mass</t>
  </si>
  <si>
    <t>Species Note: It is the largest pup for Vriesea and smallest pup for Billbergia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</si>
</sst>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35B03-EBAC-CC41-B81F-1FFEF2510269}">
  <dimension ref="A1:O542"/>
  <sheetViews>
    <sheetView tabSelected="1" zoomScale="90" workbookViewId="0">
      <selection activeCell="L116" sqref="L116"/>
    </sheetView>
  </sheetViews>
  <sheetFormatPr defaultColWidth="8.875" defaultRowHeight="15.75" x14ac:dyDescent="0.25"/>
  <cols>
    <col min="6" max="8" width="11.625" customWidth="1"/>
    <col min="9" max="10" width="12.125" customWidth="1"/>
    <col min="11" max="11" width="11.875" customWidth="1"/>
  </cols>
  <sheetData>
    <row r="1" spans="1:12" x14ac:dyDescent="0.25">
      <c r="A1" t="s">
        <v>7</v>
      </c>
      <c r="B1" t="s">
        <v>0</v>
      </c>
      <c r="C1" t="s">
        <v>1</v>
      </c>
      <c r="D1" t="s">
        <v>10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15</v>
      </c>
      <c r="K1" t="s">
        <v>8</v>
      </c>
      <c r="L1" t="s">
        <v>9</v>
      </c>
    </row>
    <row r="2" spans="1:12" x14ac:dyDescent="0.25">
      <c r="A2" t="s">
        <v>13</v>
      </c>
      <c r="B2">
        <v>13</v>
      </c>
      <c r="C2">
        <v>8</v>
      </c>
      <c r="D2" t="s">
        <v>11</v>
      </c>
      <c r="E2">
        <v>0.189</v>
      </c>
      <c r="F2">
        <v>0.29620000000000002</v>
      </c>
      <c r="G2">
        <v>1.6156999999999999</v>
      </c>
      <c r="H2">
        <v>340</v>
      </c>
      <c r="I2">
        <v>535</v>
      </c>
      <c r="J2">
        <v>93.47</v>
      </c>
    </row>
    <row r="3" spans="1:12" x14ac:dyDescent="0.25">
      <c r="A3" t="s">
        <v>13</v>
      </c>
      <c r="B3">
        <v>13</v>
      </c>
      <c r="C3">
        <v>9</v>
      </c>
      <c r="D3" t="s">
        <v>11</v>
      </c>
      <c r="E3">
        <v>0.16539999999999999</v>
      </c>
      <c r="F3">
        <v>0.22559999999999999</v>
      </c>
      <c r="G3">
        <v>1.6156999999999999</v>
      </c>
      <c r="H3">
        <v>340</v>
      </c>
      <c r="I3">
        <v>535</v>
      </c>
      <c r="J3">
        <v>93.47</v>
      </c>
    </row>
    <row r="4" spans="1:12" x14ac:dyDescent="0.25">
      <c r="A4" t="s">
        <v>13</v>
      </c>
      <c r="B4">
        <v>13</v>
      </c>
      <c r="C4">
        <v>10</v>
      </c>
      <c r="D4" t="s">
        <v>11</v>
      </c>
      <c r="E4">
        <v>0.1973</v>
      </c>
      <c r="F4">
        <v>0.30709999999999998</v>
      </c>
      <c r="G4">
        <v>1.6156999999999999</v>
      </c>
      <c r="H4">
        <v>340</v>
      </c>
      <c r="I4">
        <v>535</v>
      </c>
      <c r="J4">
        <v>93.47</v>
      </c>
    </row>
    <row r="5" spans="1:12" x14ac:dyDescent="0.25">
      <c r="A5" t="s">
        <v>13</v>
      </c>
      <c r="B5">
        <v>13</v>
      </c>
      <c r="C5">
        <v>15</v>
      </c>
      <c r="D5" t="s">
        <v>11</v>
      </c>
      <c r="E5">
        <v>0.1066</v>
      </c>
      <c r="F5">
        <v>3.1099999999999999E-2</v>
      </c>
      <c r="G5">
        <v>1.6156999999999999</v>
      </c>
      <c r="H5">
        <v>340</v>
      </c>
      <c r="I5">
        <v>535</v>
      </c>
      <c r="J5">
        <v>93.47</v>
      </c>
    </row>
    <row r="6" spans="1:12" x14ac:dyDescent="0.25">
      <c r="A6" t="s">
        <v>13</v>
      </c>
      <c r="B6">
        <v>13</v>
      </c>
      <c r="C6">
        <v>16</v>
      </c>
      <c r="D6" t="s">
        <v>11</v>
      </c>
      <c r="E6">
        <v>0.12379999999999999</v>
      </c>
      <c r="F6">
        <v>0.1042</v>
      </c>
      <c r="G6">
        <v>1.6156999999999999</v>
      </c>
      <c r="H6">
        <v>340</v>
      </c>
      <c r="I6">
        <v>535</v>
      </c>
      <c r="J6">
        <v>93.47</v>
      </c>
    </row>
    <row r="7" spans="1:12" x14ac:dyDescent="0.25">
      <c r="A7" t="s">
        <v>13</v>
      </c>
      <c r="B7">
        <v>13</v>
      </c>
      <c r="C7">
        <v>18</v>
      </c>
      <c r="D7" t="s">
        <v>11</v>
      </c>
      <c r="E7">
        <v>8.09E-2</v>
      </c>
      <c r="F7">
        <v>4.7000000000000002E-3</v>
      </c>
      <c r="G7">
        <v>1.6156999999999999</v>
      </c>
      <c r="H7">
        <v>340</v>
      </c>
      <c r="I7">
        <v>535</v>
      </c>
      <c r="J7">
        <v>93.47</v>
      </c>
    </row>
    <row r="8" spans="1:12" x14ac:dyDescent="0.25">
      <c r="A8" t="s">
        <v>13</v>
      </c>
      <c r="B8">
        <v>13</v>
      </c>
      <c r="C8">
        <v>1</v>
      </c>
      <c r="D8" t="s">
        <v>12</v>
      </c>
      <c r="E8">
        <v>5.9900000000000002E-2</v>
      </c>
      <c r="F8">
        <v>0</v>
      </c>
      <c r="G8">
        <v>1.6156999999999999</v>
      </c>
      <c r="H8">
        <v>340</v>
      </c>
      <c r="I8">
        <v>535</v>
      </c>
      <c r="J8">
        <v>93.47</v>
      </c>
    </row>
    <row r="9" spans="1:12" x14ac:dyDescent="0.25">
      <c r="A9" t="s">
        <v>13</v>
      </c>
      <c r="B9">
        <v>13</v>
      </c>
      <c r="C9">
        <v>2</v>
      </c>
      <c r="D9" t="s">
        <v>12</v>
      </c>
      <c r="E9">
        <v>0.1794</v>
      </c>
      <c r="F9">
        <v>0.1225</v>
      </c>
      <c r="G9">
        <v>1.6156999999999999</v>
      </c>
      <c r="H9">
        <v>340</v>
      </c>
      <c r="I9">
        <v>535</v>
      </c>
      <c r="J9">
        <v>93.47</v>
      </c>
    </row>
    <row r="10" spans="1:12" x14ac:dyDescent="0.25">
      <c r="A10" t="s">
        <v>13</v>
      </c>
      <c r="B10">
        <v>13</v>
      </c>
      <c r="C10">
        <v>3</v>
      </c>
      <c r="D10" t="s">
        <v>12</v>
      </c>
      <c r="E10">
        <v>9.1399999999999995E-2</v>
      </c>
      <c r="F10">
        <v>0</v>
      </c>
      <c r="G10">
        <v>1.6156999999999999</v>
      </c>
      <c r="H10">
        <v>340</v>
      </c>
      <c r="I10">
        <v>535</v>
      </c>
      <c r="J10">
        <v>93.47</v>
      </c>
    </row>
    <row r="11" spans="1:12" x14ac:dyDescent="0.25">
      <c r="A11" t="s">
        <v>13</v>
      </c>
      <c r="B11">
        <v>13</v>
      </c>
      <c r="C11">
        <v>4</v>
      </c>
      <c r="D11" t="s">
        <v>12</v>
      </c>
      <c r="E11">
        <v>0.16839999999999999</v>
      </c>
      <c r="F11">
        <v>0.1517</v>
      </c>
      <c r="G11">
        <v>1.6156999999999999</v>
      </c>
      <c r="H11">
        <v>340</v>
      </c>
      <c r="I11">
        <v>535</v>
      </c>
      <c r="J11">
        <v>93.47</v>
      </c>
    </row>
    <row r="12" spans="1:12" x14ac:dyDescent="0.25">
      <c r="A12" t="s">
        <v>13</v>
      </c>
      <c r="B12">
        <v>13</v>
      </c>
      <c r="C12">
        <v>5</v>
      </c>
      <c r="D12" t="s">
        <v>12</v>
      </c>
      <c r="E12">
        <v>0.17949999999999999</v>
      </c>
      <c r="F12">
        <v>0.18640000000000001</v>
      </c>
      <c r="G12">
        <v>1.6156999999999999</v>
      </c>
      <c r="H12">
        <v>340</v>
      </c>
      <c r="I12">
        <v>535</v>
      </c>
      <c r="J12">
        <v>93.47</v>
      </c>
    </row>
    <row r="13" spans="1:12" x14ac:dyDescent="0.25">
      <c r="A13" t="s">
        <v>13</v>
      </c>
      <c r="B13">
        <v>13</v>
      </c>
      <c r="C13">
        <v>6</v>
      </c>
      <c r="D13" t="s">
        <v>12</v>
      </c>
      <c r="E13">
        <v>0.1656</v>
      </c>
      <c r="F13">
        <v>0.24740000000000001</v>
      </c>
      <c r="G13">
        <v>1.6156999999999999</v>
      </c>
      <c r="H13">
        <v>340</v>
      </c>
      <c r="I13">
        <v>535</v>
      </c>
      <c r="J13">
        <v>93.47</v>
      </c>
    </row>
    <row r="14" spans="1:12" x14ac:dyDescent="0.25">
      <c r="A14" t="s">
        <v>13</v>
      </c>
      <c r="B14">
        <v>13</v>
      </c>
      <c r="C14">
        <v>7</v>
      </c>
      <c r="D14" t="s">
        <v>12</v>
      </c>
      <c r="E14">
        <v>0.1115</v>
      </c>
      <c r="F14">
        <v>3.7199999999999997E-2</v>
      </c>
      <c r="G14">
        <v>1.6156999999999999</v>
      </c>
      <c r="H14">
        <v>340</v>
      </c>
      <c r="I14">
        <v>535</v>
      </c>
      <c r="J14">
        <v>93.47</v>
      </c>
    </row>
    <row r="15" spans="1:12" x14ac:dyDescent="0.25">
      <c r="A15" t="s">
        <v>13</v>
      </c>
      <c r="B15">
        <v>13</v>
      </c>
      <c r="C15">
        <v>11</v>
      </c>
      <c r="D15" t="s">
        <v>12</v>
      </c>
      <c r="E15">
        <v>0.19320000000000001</v>
      </c>
      <c r="F15">
        <v>0.31119999999999998</v>
      </c>
      <c r="G15">
        <v>1.6156999999999999</v>
      </c>
      <c r="H15">
        <v>340</v>
      </c>
      <c r="I15">
        <v>535</v>
      </c>
      <c r="J15">
        <v>93.47</v>
      </c>
    </row>
    <row r="16" spans="1:12" x14ac:dyDescent="0.25">
      <c r="A16" t="s">
        <v>13</v>
      </c>
      <c r="B16">
        <v>13</v>
      </c>
      <c r="C16">
        <v>12</v>
      </c>
      <c r="D16" t="s">
        <v>12</v>
      </c>
      <c r="E16">
        <v>0.17949999999999999</v>
      </c>
      <c r="F16">
        <v>0.2903</v>
      </c>
      <c r="G16">
        <v>1.6156999999999999</v>
      </c>
      <c r="H16">
        <v>340</v>
      </c>
      <c r="I16">
        <v>535</v>
      </c>
      <c r="J16">
        <v>93.47</v>
      </c>
    </row>
    <row r="17" spans="1:10" x14ac:dyDescent="0.25">
      <c r="A17" t="s">
        <v>13</v>
      </c>
      <c r="B17">
        <v>13</v>
      </c>
      <c r="C17">
        <v>13</v>
      </c>
      <c r="D17" t="s">
        <v>12</v>
      </c>
      <c r="E17">
        <v>0.1832</v>
      </c>
      <c r="F17">
        <v>0.25829999999999997</v>
      </c>
      <c r="G17">
        <v>1.6156999999999999</v>
      </c>
      <c r="H17">
        <v>340</v>
      </c>
      <c r="I17">
        <v>535</v>
      </c>
      <c r="J17">
        <v>93.47</v>
      </c>
    </row>
    <row r="18" spans="1:10" x14ac:dyDescent="0.25">
      <c r="A18" t="s">
        <v>13</v>
      </c>
      <c r="B18">
        <v>13</v>
      </c>
      <c r="C18">
        <v>14</v>
      </c>
      <c r="D18" t="s">
        <v>12</v>
      </c>
      <c r="E18">
        <v>0.14449999999999999</v>
      </c>
      <c r="F18">
        <v>0.14130000000000001</v>
      </c>
      <c r="G18">
        <v>1.6156999999999999</v>
      </c>
      <c r="H18">
        <v>340</v>
      </c>
      <c r="I18">
        <v>535</v>
      </c>
      <c r="J18">
        <v>93.47</v>
      </c>
    </row>
    <row r="19" spans="1:10" x14ac:dyDescent="0.25">
      <c r="A19" t="s">
        <v>13</v>
      </c>
      <c r="B19">
        <v>13</v>
      </c>
      <c r="C19">
        <v>17</v>
      </c>
      <c r="D19" t="s">
        <v>12</v>
      </c>
      <c r="E19">
        <v>0.1101</v>
      </c>
      <c r="F19">
        <v>0.13400000000000001</v>
      </c>
      <c r="G19">
        <v>1.6156999999999999</v>
      </c>
      <c r="H19">
        <v>340</v>
      </c>
      <c r="I19">
        <v>535</v>
      </c>
      <c r="J19">
        <v>93.47</v>
      </c>
    </row>
    <row r="20" spans="1:10" x14ac:dyDescent="0.25">
      <c r="A20" t="s">
        <v>13</v>
      </c>
      <c r="B20">
        <v>13</v>
      </c>
      <c r="C20">
        <v>19</v>
      </c>
      <c r="D20" t="s">
        <v>12</v>
      </c>
      <c r="E20">
        <v>4.8399999999999999E-2</v>
      </c>
      <c r="F20">
        <v>0</v>
      </c>
      <c r="G20">
        <v>1.6156999999999999</v>
      </c>
      <c r="H20">
        <v>340</v>
      </c>
      <c r="I20">
        <v>535</v>
      </c>
      <c r="J20">
        <v>93.47</v>
      </c>
    </row>
    <row r="21" spans="1:10" x14ac:dyDescent="0.25">
      <c r="A21" t="s">
        <v>13</v>
      </c>
      <c r="B21">
        <v>28</v>
      </c>
      <c r="C21">
        <v>1</v>
      </c>
      <c r="D21" t="s">
        <v>12</v>
      </c>
      <c r="E21">
        <v>2.4299999999999999E-2</v>
      </c>
      <c r="F21">
        <v>0</v>
      </c>
      <c r="G21">
        <v>1.3332999999999999</v>
      </c>
      <c r="H21">
        <v>280</v>
      </c>
      <c r="I21">
        <v>568</v>
      </c>
      <c r="J21">
        <v>108.17</v>
      </c>
    </row>
    <row r="22" spans="1:10" x14ac:dyDescent="0.25">
      <c r="A22" t="s">
        <v>13</v>
      </c>
      <c r="B22">
        <v>28</v>
      </c>
      <c r="C22">
        <v>2</v>
      </c>
      <c r="D22" t="s">
        <v>12</v>
      </c>
      <c r="E22">
        <v>2.8799999999999999E-2</v>
      </c>
      <c r="F22">
        <v>0</v>
      </c>
      <c r="G22">
        <v>1.3332999999999999</v>
      </c>
      <c r="H22">
        <v>280</v>
      </c>
      <c r="I22">
        <v>568</v>
      </c>
      <c r="J22">
        <v>108.17</v>
      </c>
    </row>
    <row r="23" spans="1:10" x14ac:dyDescent="0.25">
      <c r="A23" t="s">
        <v>13</v>
      </c>
      <c r="B23">
        <v>28</v>
      </c>
      <c r="C23">
        <v>3</v>
      </c>
      <c r="D23" t="s">
        <v>12</v>
      </c>
      <c r="E23">
        <v>2.8899999999999999E-2</v>
      </c>
      <c r="F23">
        <v>0</v>
      </c>
      <c r="G23">
        <v>1.3332999999999999</v>
      </c>
      <c r="H23">
        <v>280</v>
      </c>
      <c r="I23">
        <v>568</v>
      </c>
      <c r="J23">
        <v>108.17</v>
      </c>
    </row>
    <row r="24" spans="1:10" x14ac:dyDescent="0.25">
      <c r="A24" t="s">
        <v>13</v>
      </c>
      <c r="B24">
        <v>28</v>
      </c>
      <c r="C24">
        <v>4</v>
      </c>
      <c r="D24" t="s">
        <v>12</v>
      </c>
      <c r="E24">
        <v>3.5299999999999998E-2</v>
      </c>
      <c r="F24">
        <v>0</v>
      </c>
      <c r="G24">
        <v>1.3332999999999999</v>
      </c>
      <c r="H24">
        <v>280</v>
      </c>
      <c r="I24">
        <v>568</v>
      </c>
      <c r="J24">
        <v>108.17</v>
      </c>
    </row>
    <row r="25" spans="1:10" x14ac:dyDescent="0.25">
      <c r="A25" t="s">
        <v>13</v>
      </c>
      <c r="B25">
        <v>28</v>
      </c>
      <c r="C25">
        <v>5</v>
      </c>
      <c r="D25" t="s">
        <v>12</v>
      </c>
      <c r="E25">
        <v>0.1103</v>
      </c>
      <c r="F25">
        <v>0</v>
      </c>
      <c r="G25">
        <v>1.3332999999999999</v>
      </c>
      <c r="H25">
        <v>280</v>
      </c>
      <c r="I25">
        <v>568</v>
      </c>
      <c r="J25">
        <v>108.17</v>
      </c>
    </row>
    <row r="26" spans="1:10" x14ac:dyDescent="0.25">
      <c r="A26" t="s">
        <v>13</v>
      </c>
      <c r="B26">
        <v>28</v>
      </c>
      <c r="C26">
        <v>6</v>
      </c>
      <c r="D26" t="s">
        <v>12</v>
      </c>
      <c r="E26">
        <v>0.1077</v>
      </c>
      <c r="F26">
        <v>0</v>
      </c>
      <c r="G26">
        <v>1.3332999999999999</v>
      </c>
      <c r="H26">
        <v>280</v>
      </c>
      <c r="I26">
        <v>568</v>
      </c>
      <c r="J26">
        <v>108.17</v>
      </c>
    </row>
    <row r="27" spans="1:10" x14ac:dyDescent="0.25">
      <c r="A27" t="s">
        <v>13</v>
      </c>
      <c r="B27">
        <v>28</v>
      </c>
      <c r="C27">
        <v>7</v>
      </c>
      <c r="D27" t="s">
        <v>12</v>
      </c>
      <c r="E27">
        <v>4.0399999999999998E-2</v>
      </c>
      <c r="F27">
        <v>0</v>
      </c>
      <c r="G27">
        <v>1.3332999999999999</v>
      </c>
      <c r="H27">
        <v>280</v>
      </c>
      <c r="I27">
        <v>568</v>
      </c>
      <c r="J27">
        <v>108.17</v>
      </c>
    </row>
    <row r="28" spans="1:10" x14ac:dyDescent="0.25">
      <c r="A28" t="s">
        <v>13</v>
      </c>
      <c r="B28">
        <v>28</v>
      </c>
      <c r="C28">
        <v>8</v>
      </c>
      <c r="D28" t="s">
        <v>12</v>
      </c>
      <c r="E28">
        <v>6.7500000000000004E-2</v>
      </c>
      <c r="F28">
        <v>0</v>
      </c>
      <c r="G28">
        <v>1.3332999999999999</v>
      </c>
      <c r="H28">
        <v>280</v>
      </c>
      <c r="I28">
        <v>568</v>
      </c>
      <c r="J28">
        <v>108.17</v>
      </c>
    </row>
    <row r="29" spans="1:10" x14ac:dyDescent="0.25">
      <c r="A29" t="s">
        <v>13</v>
      </c>
      <c r="B29">
        <v>28</v>
      </c>
      <c r="C29">
        <v>9</v>
      </c>
      <c r="D29" t="s">
        <v>12</v>
      </c>
      <c r="E29">
        <v>0.1351</v>
      </c>
      <c r="F29">
        <v>0.25190000000000001</v>
      </c>
      <c r="G29">
        <v>1.3332999999999999</v>
      </c>
      <c r="H29">
        <v>280</v>
      </c>
      <c r="I29">
        <v>568</v>
      </c>
      <c r="J29">
        <v>108.17</v>
      </c>
    </row>
    <row r="30" spans="1:10" x14ac:dyDescent="0.25">
      <c r="A30" t="s">
        <v>13</v>
      </c>
      <c r="B30">
        <v>28</v>
      </c>
      <c r="C30">
        <v>10</v>
      </c>
      <c r="D30" t="s">
        <v>12</v>
      </c>
      <c r="E30">
        <v>0.14050000000000001</v>
      </c>
      <c r="F30">
        <v>0.10440000000000001</v>
      </c>
      <c r="G30">
        <v>1.3332999999999999</v>
      </c>
      <c r="H30">
        <v>280</v>
      </c>
      <c r="I30">
        <v>568</v>
      </c>
      <c r="J30">
        <v>108.17</v>
      </c>
    </row>
    <row r="31" spans="1:10" x14ac:dyDescent="0.25">
      <c r="A31" t="s">
        <v>13</v>
      </c>
      <c r="B31">
        <v>28</v>
      </c>
      <c r="C31">
        <v>11</v>
      </c>
      <c r="D31" t="s">
        <v>12</v>
      </c>
      <c r="E31">
        <v>0.14330000000000001</v>
      </c>
      <c r="F31">
        <v>9.7199999999999995E-2</v>
      </c>
      <c r="G31">
        <v>1.3332999999999999</v>
      </c>
      <c r="H31">
        <v>280</v>
      </c>
      <c r="I31">
        <v>568</v>
      </c>
      <c r="J31">
        <v>108.17</v>
      </c>
    </row>
    <row r="32" spans="1:10" x14ac:dyDescent="0.25">
      <c r="A32" t="s">
        <v>13</v>
      </c>
      <c r="B32">
        <v>28</v>
      </c>
      <c r="C32">
        <v>12</v>
      </c>
      <c r="D32" t="s">
        <v>12</v>
      </c>
      <c r="E32">
        <v>0.1411</v>
      </c>
      <c r="F32">
        <v>0.1661</v>
      </c>
      <c r="G32">
        <v>1.3332999999999999</v>
      </c>
      <c r="H32">
        <v>280</v>
      </c>
      <c r="I32">
        <v>568</v>
      </c>
      <c r="J32">
        <v>108.17</v>
      </c>
    </row>
    <row r="33" spans="1:10" x14ac:dyDescent="0.25">
      <c r="A33" t="s">
        <v>13</v>
      </c>
      <c r="B33">
        <v>28</v>
      </c>
      <c r="C33">
        <v>13</v>
      </c>
      <c r="D33" t="s">
        <v>12</v>
      </c>
      <c r="E33">
        <v>0.14080000000000001</v>
      </c>
      <c r="F33">
        <v>9.5899999999999999E-2</v>
      </c>
      <c r="G33">
        <v>1.3332999999999999</v>
      </c>
      <c r="H33">
        <v>280</v>
      </c>
      <c r="I33">
        <v>568</v>
      </c>
      <c r="J33">
        <v>108.17</v>
      </c>
    </row>
    <row r="34" spans="1:10" x14ac:dyDescent="0.25">
      <c r="A34" t="s">
        <v>13</v>
      </c>
      <c r="B34">
        <v>28</v>
      </c>
      <c r="C34">
        <v>14</v>
      </c>
      <c r="D34" t="s">
        <v>12</v>
      </c>
      <c r="E34">
        <v>0.13420000000000001</v>
      </c>
      <c r="F34">
        <v>0.1101</v>
      </c>
      <c r="G34">
        <v>1.3332999999999999</v>
      </c>
      <c r="H34">
        <v>280</v>
      </c>
      <c r="I34">
        <v>568</v>
      </c>
      <c r="J34">
        <v>108.17</v>
      </c>
    </row>
    <row r="35" spans="1:10" x14ac:dyDescent="0.25">
      <c r="A35" t="s">
        <v>13</v>
      </c>
      <c r="B35">
        <v>28</v>
      </c>
      <c r="C35">
        <v>15</v>
      </c>
      <c r="D35" t="s">
        <v>12</v>
      </c>
      <c r="E35">
        <v>0.1371</v>
      </c>
      <c r="F35">
        <v>0.2132</v>
      </c>
      <c r="G35">
        <v>1.3332999999999999</v>
      </c>
      <c r="H35">
        <v>280</v>
      </c>
      <c r="I35">
        <v>568</v>
      </c>
      <c r="J35">
        <v>108.17</v>
      </c>
    </row>
    <row r="36" spans="1:10" x14ac:dyDescent="0.25">
      <c r="A36" t="s">
        <v>13</v>
      </c>
      <c r="B36">
        <v>28</v>
      </c>
      <c r="C36">
        <v>16</v>
      </c>
      <c r="D36" t="s">
        <v>12</v>
      </c>
      <c r="E36">
        <v>0.14699999999999999</v>
      </c>
      <c r="F36">
        <v>0.34499999999999997</v>
      </c>
      <c r="G36">
        <v>1.3332999999999999</v>
      </c>
      <c r="H36">
        <v>280</v>
      </c>
      <c r="I36">
        <v>568</v>
      </c>
      <c r="J36">
        <v>108.17</v>
      </c>
    </row>
    <row r="37" spans="1:10" x14ac:dyDescent="0.25">
      <c r="A37" t="s">
        <v>13</v>
      </c>
      <c r="B37">
        <v>28</v>
      </c>
      <c r="C37">
        <v>17</v>
      </c>
      <c r="D37" t="s">
        <v>12</v>
      </c>
      <c r="E37">
        <v>4.2200000000000001E-2</v>
      </c>
      <c r="F37">
        <v>0</v>
      </c>
      <c r="G37">
        <v>1.3332999999999999</v>
      </c>
      <c r="H37">
        <v>280</v>
      </c>
      <c r="I37">
        <v>568</v>
      </c>
      <c r="J37">
        <v>108.17</v>
      </c>
    </row>
    <row r="38" spans="1:10" x14ac:dyDescent="0.25">
      <c r="A38" t="s">
        <v>13</v>
      </c>
      <c r="B38">
        <v>28</v>
      </c>
      <c r="C38">
        <v>18</v>
      </c>
      <c r="D38" t="s">
        <v>12</v>
      </c>
      <c r="E38">
        <v>0.13320000000000001</v>
      </c>
      <c r="F38">
        <v>0.14280000000000001</v>
      </c>
      <c r="G38">
        <v>1.3332999999999999</v>
      </c>
      <c r="H38">
        <v>280</v>
      </c>
      <c r="I38">
        <v>568</v>
      </c>
      <c r="J38">
        <v>108.17</v>
      </c>
    </row>
    <row r="39" spans="1:10" x14ac:dyDescent="0.25">
      <c r="A39" t="s">
        <v>13</v>
      </c>
      <c r="B39">
        <v>28</v>
      </c>
      <c r="C39">
        <v>19</v>
      </c>
      <c r="D39" t="s">
        <v>12</v>
      </c>
      <c r="E39">
        <v>0.1226</v>
      </c>
      <c r="F39">
        <v>0.31630000000000003</v>
      </c>
      <c r="G39">
        <v>1.3332999999999999</v>
      </c>
      <c r="H39">
        <v>280</v>
      </c>
      <c r="I39">
        <v>568</v>
      </c>
      <c r="J39">
        <v>108.17</v>
      </c>
    </row>
    <row r="40" spans="1:10" x14ac:dyDescent="0.25">
      <c r="A40" t="s">
        <v>13</v>
      </c>
      <c r="B40">
        <v>28</v>
      </c>
      <c r="C40">
        <v>20</v>
      </c>
      <c r="D40" t="s">
        <v>12</v>
      </c>
      <c r="E40">
        <v>8.8900000000000007E-2</v>
      </c>
      <c r="F40">
        <v>6.2100000000000002E-2</v>
      </c>
      <c r="G40">
        <v>1.3332999999999999</v>
      </c>
      <c r="H40">
        <v>280</v>
      </c>
      <c r="I40">
        <v>568</v>
      </c>
      <c r="J40">
        <v>108.17</v>
      </c>
    </row>
    <row r="41" spans="1:10" x14ac:dyDescent="0.25">
      <c r="A41" t="s">
        <v>13</v>
      </c>
      <c r="B41">
        <v>28</v>
      </c>
      <c r="C41">
        <v>21</v>
      </c>
      <c r="D41" t="s">
        <v>12</v>
      </c>
      <c r="E41">
        <v>0.12839999999999999</v>
      </c>
      <c r="F41">
        <v>0.2762</v>
      </c>
      <c r="G41">
        <v>1.3332999999999999</v>
      </c>
      <c r="H41">
        <v>280</v>
      </c>
      <c r="I41">
        <v>568</v>
      </c>
      <c r="J41">
        <v>108.17</v>
      </c>
    </row>
    <row r="42" spans="1:10" x14ac:dyDescent="0.25">
      <c r="A42" t="s">
        <v>13</v>
      </c>
      <c r="B42">
        <v>28</v>
      </c>
      <c r="C42">
        <v>22</v>
      </c>
      <c r="D42" t="s">
        <v>12</v>
      </c>
      <c r="E42">
        <v>0.13900000000000001</v>
      </c>
      <c r="F42">
        <v>0.25819999999999999</v>
      </c>
      <c r="G42">
        <v>1.3332999999999999</v>
      </c>
      <c r="H42">
        <v>280</v>
      </c>
      <c r="I42">
        <v>568</v>
      </c>
      <c r="J42">
        <v>108.17</v>
      </c>
    </row>
    <row r="43" spans="1:10" x14ac:dyDescent="0.25">
      <c r="A43" t="s">
        <v>13</v>
      </c>
      <c r="B43">
        <v>42</v>
      </c>
      <c r="C43">
        <v>1</v>
      </c>
      <c r="D43" t="s">
        <v>12</v>
      </c>
      <c r="E43">
        <v>4.6300000000000001E-2</v>
      </c>
      <c r="F43">
        <v>0</v>
      </c>
      <c r="G43">
        <v>1.1117999999999999</v>
      </c>
      <c r="H43">
        <v>265</v>
      </c>
      <c r="I43">
        <v>530</v>
      </c>
      <c r="J43">
        <v>105.1</v>
      </c>
    </row>
    <row r="44" spans="1:10" x14ac:dyDescent="0.25">
      <c r="A44" t="s">
        <v>13</v>
      </c>
      <c r="B44">
        <v>42</v>
      </c>
      <c r="C44">
        <v>2</v>
      </c>
      <c r="D44" t="s">
        <v>12</v>
      </c>
      <c r="E44">
        <v>4.48E-2</v>
      </c>
      <c r="F44">
        <v>0</v>
      </c>
      <c r="G44">
        <v>1.1117999999999999</v>
      </c>
      <c r="H44">
        <v>265</v>
      </c>
      <c r="I44">
        <v>530</v>
      </c>
      <c r="J44">
        <v>105.1</v>
      </c>
    </row>
    <row r="45" spans="1:10" x14ac:dyDescent="0.25">
      <c r="A45" t="s">
        <v>13</v>
      </c>
      <c r="B45">
        <v>42</v>
      </c>
      <c r="C45">
        <v>3</v>
      </c>
      <c r="D45" t="s">
        <v>12</v>
      </c>
      <c r="E45">
        <v>0.20499999999999999</v>
      </c>
      <c r="F45">
        <v>0.30249999999999999</v>
      </c>
      <c r="G45">
        <v>1.1117999999999999</v>
      </c>
      <c r="H45">
        <v>265</v>
      </c>
      <c r="I45">
        <v>530</v>
      </c>
      <c r="J45">
        <v>105.1</v>
      </c>
    </row>
    <row r="46" spans="1:10" x14ac:dyDescent="0.25">
      <c r="A46" t="s">
        <v>13</v>
      </c>
      <c r="B46">
        <v>42</v>
      </c>
      <c r="C46">
        <v>4</v>
      </c>
      <c r="D46" t="s">
        <v>12</v>
      </c>
      <c r="E46">
        <v>0.21379999999999999</v>
      </c>
      <c r="F46">
        <v>0.33329999999999999</v>
      </c>
      <c r="G46">
        <v>1.1117999999999999</v>
      </c>
      <c r="H46">
        <v>265</v>
      </c>
      <c r="I46">
        <v>530</v>
      </c>
      <c r="J46">
        <v>105.1</v>
      </c>
    </row>
    <row r="47" spans="1:10" x14ac:dyDescent="0.25">
      <c r="A47" t="s">
        <v>13</v>
      </c>
      <c r="B47">
        <v>42</v>
      </c>
      <c r="C47">
        <v>5</v>
      </c>
      <c r="D47" t="s">
        <v>12</v>
      </c>
      <c r="E47">
        <v>0.1381</v>
      </c>
      <c r="F47">
        <v>5.3499999999999999E-2</v>
      </c>
      <c r="G47">
        <v>1.1117999999999999</v>
      </c>
      <c r="H47">
        <v>265</v>
      </c>
      <c r="I47">
        <v>530</v>
      </c>
      <c r="J47">
        <v>105.1</v>
      </c>
    </row>
    <row r="48" spans="1:10" x14ac:dyDescent="0.25">
      <c r="A48" t="s">
        <v>13</v>
      </c>
      <c r="B48">
        <v>42</v>
      </c>
      <c r="C48">
        <v>6</v>
      </c>
      <c r="D48" t="s">
        <v>12</v>
      </c>
      <c r="E48">
        <v>0.2218</v>
      </c>
      <c r="F48">
        <v>0.4607</v>
      </c>
      <c r="G48">
        <v>1.1117999999999999</v>
      </c>
      <c r="H48">
        <v>265</v>
      </c>
      <c r="I48">
        <v>530</v>
      </c>
      <c r="J48">
        <v>105.1</v>
      </c>
    </row>
    <row r="49" spans="1:10" x14ac:dyDescent="0.25">
      <c r="A49" t="s">
        <v>13</v>
      </c>
      <c r="B49">
        <v>42</v>
      </c>
      <c r="C49">
        <v>7</v>
      </c>
      <c r="D49" t="s">
        <v>12</v>
      </c>
      <c r="E49">
        <v>0.21199999999999999</v>
      </c>
      <c r="F49">
        <v>0.33660000000000001</v>
      </c>
      <c r="G49">
        <v>1.1117999999999999</v>
      </c>
      <c r="H49">
        <v>265</v>
      </c>
      <c r="I49">
        <v>530</v>
      </c>
      <c r="J49">
        <v>105.1</v>
      </c>
    </row>
    <row r="50" spans="1:10" x14ac:dyDescent="0.25">
      <c r="A50" t="s">
        <v>13</v>
      </c>
      <c r="B50">
        <v>42</v>
      </c>
      <c r="C50">
        <v>8</v>
      </c>
      <c r="D50" t="s">
        <v>12</v>
      </c>
      <c r="E50">
        <v>0.2301</v>
      </c>
      <c r="F50">
        <v>0.3407</v>
      </c>
      <c r="G50">
        <v>1.1117999999999999</v>
      </c>
      <c r="H50">
        <v>265</v>
      </c>
      <c r="I50">
        <v>530</v>
      </c>
      <c r="J50">
        <v>105.1</v>
      </c>
    </row>
    <row r="51" spans="1:10" x14ac:dyDescent="0.25">
      <c r="A51" t="s">
        <v>13</v>
      </c>
      <c r="B51">
        <v>42</v>
      </c>
      <c r="C51">
        <v>9</v>
      </c>
      <c r="D51" t="s">
        <v>12</v>
      </c>
      <c r="E51">
        <v>0.17910000000000001</v>
      </c>
      <c r="F51">
        <v>0.2757</v>
      </c>
      <c r="G51">
        <v>1.1117999999999999</v>
      </c>
      <c r="H51">
        <v>265</v>
      </c>
      <c r="I51">
        <v>530</v>
      </c>
      <c r="J51">
        <v>105.1</v>
      </c>
    </row>
    <row r="52" spans="1:10" x14ac:dyDescent="0.25">
      <c r="A52" t="s">
        <v>13</v>
      </c>
      <c r="B52">
        <v>58</v>
      </c>
      <c r="C52">
        <v>1</v>
      </c>
      <c r="D52" t="s">
        <v>12</v>
      </c>
      <c r="E52">
        <v>6.5799999999999997E-2</v>
      </c>
      <c r="F52">
        <v>4.0000000000000001E-3</v>
      </c>
      <c r="G52">
        <v>1.0187999999999999</v>
      </c>
      <c r="H52">
        <v>325</v>
      </c>
      <c r="I52">
        <v>535</v>
      </c>
      <c r="J52">
        <v>77.040000000000006</v>
      </c>
    </row>
    <row r="53" spans="1:10" x14ac:dyDescent="0.25">
      <c r="A53" t="s">
        <v>13</v>
      </c>
      <c r="B53">
        <v>58</v>
      </c>
      <c r="C53">
        <v>2</v>
      </c>
      <c r="D53" t="s">
        <v>12</v>
      </c>
      <c r="E53">
        <v>0.10580000000000001</v>
      </c>
      <c r="F53">
        <v>9.06E-2</v>
      </c>
      <c r="G53">
        <v>1.0187999999999999</v>
      </c>
      <c r="H53">
        <v>325</v>
      </c>
      <c r="I53">
        <v>535</v>
      </c>
      <c r="J53">
        <v>77.040000000000006</v>
      </c>
    </row>
    <row r="54" spans="1:10" x14ac:dyDescent="0.25">
      <c r="A54" t="s">
        <v>13</v>
      </c>
      <c r="B54">
        <v>58</v>
      </c>
      <c r="C54">
        <v>3</v>
      </c>
      <c r="D54" t="s">
        <v>12</v>
      </c>
      <c r="E54">
        <v>4.4400000000000002E-2</v>
      </c>
      <c r="F54">
        <v>0</v>
      </c>
      <c r="G54">
        <v>1.0187999999999999</v>
      </c>
      <c r="H54">
        <v>325</v>
      </c>
      <c r="I54">
        <v>535</v>
      </c>
      <c r="J54">
        <v>77.040000000000006</v>
      </c>
    </row>
    <row r="55" spans="1:10" x14ac:dyDescent="0.25">
      <c r="A55" t="s">
        <v>13</v>
      </c>
      <c r="B55">
        <v>58</v>
      </c>
      <c r="C55">
        <v>4</v>
      </c>
      <c r="D55" t="s">
        <v>12</v>
      </c>
      <c r="E55">
        <v>0.13669999999999999</v>
      </c>
      <c r="F55">
        <v>0.2477</v>
      </c>
      <c r="G55">
        <v>1.0187999999999999</v>
      </c>
      <c r="H55">
        <v>325</v>
      </c>
      <c r="I55">
        <v>535</v>
      </c>
      <c r="J55">
        <v>77.040000000000006</v>
      </c>
    </row>
    <row r="56" spans="1:10" x14ac:dyDescent="0.25">
      <c r="A56" t="s">
        <v>13</v>
      </c>
      <c r="B56">
        <v>58</v>
      </c>
      <c r="C56">
        <v>5</v>
      </c>
      <c r="D56" t="s">
        <v>12</v>
      </c>
      <c r="E56">
        <v>0.1114</v>
      </c>
      <c r="F56">
        <v>0.14549999999999999</v>
      </c>
      <c r="G56">
        <v>1.0187999999999999</v>
      </c>
      <c r="H56">
        <v>325</v>
      </c>
      <c r="I56">
        <v>535</v>
      </c>
      <c r="J56">
        <v>77.040000000000006</v>
      </c>
    </row>
    <row r="57" spans="1:10" x14ac:dyDescent="0.25">
      <c r="A57" t="s">
        <v>13</v>
      </c>
      <c r="B57">
        <v>58</v>
      </c>
      <c r="C57">
        <v>6</v>
      </c>
      <c r="D57" t="s">
        <v>12</v>
      </c>
      <c r="E57">
        <v>0.1305</v>
      </c>
      <c r="F57">
        <v>0.30259999999999998</v>
      </c>
      <c r="G57">
        <v>1.0187999999999999</v>
      </c>
      <c r="H57">
        <v>325</v>
      </c>
      <c r="I57">
        <v>535</v>
      </c>
      <c r="J57">
        <v>77.040000000000006</v>
      </c>
    </row>
    <row r="58" spans="1:10" x14ac:dyDescent="0.25">
      <c r="A58" t="s">
        <v>13</v>
      </c>
      <c r="B58">
        <v>58</v>
      </c>
      <c r="C58">
        <v>7</v>
      </c>
      <c r="D58" t="s">
        <v>12</v>
      </c>
      <c r="E58">
        <v>0.121</v>
      </c>
      <c r="F58">
        <v>0.30620000000000003</v>
      </c>
      <c r="G58">
        <v>1.0187999999999999</v>
      </c>
      <c r="H58">
        <v>325</v>
      </c>
      <c r="I58">
        <v>535</v>
      </c>
      <c r="J58">
        <v>77.040000000000006</v>
      </c>
    </row>
    <row r="59" spans="1:10" x14ac:dyDescent="0.25">
      <c r="A59" t="s">
        <v>13</v>
      </c>
      <c r="B59">
        <v>58</v>
      </c>
      <c r="C59">
        <v>8</v>
      </c>
      <c r="D59" t="s">
        <v>12</v>
      </c>
      <c r="E59">
        <v>0.1588</v>
      </c>
      <c r="F59">
        <v>0.3987</v>
      </c>
      <c r="G59">
        <v>1.0187999999999999</v>
      </c>
      <c r="H59">
        <v>325</v>
      </c>
      <c r="I59">
        <v>535</v>
      </c>
      <c r="J59">
        <v>77.040000000000006</v>
      </c>
    </row>
    <row r="60" spans="1:10" x14ac:dyDescent="0.25">
      <c r="A60" t="s">
        <v>13</v>
      </c>
      <c r="B60">
        <v>58</v>
      </c>
      <c r="C60">
        <v>9</v>
      </c>
      <c r="D60" t="s">
        <v>12</v>
      </c>
      <c r="E60">
        <v>0.14860000000000001</v>
      </c>
      <c r="F60">
        <v>0.31859999999999999</v>
      </c>
      <c r="G60">
        <v>1.0187999999999999</v>
      </c>
      <c r="H60">
        <v>325</v>
      </c>
      <c r="I60">
        <v>535</v>
      </c>
      <c r="J60">
        <v>77.040000000000006</v>
      </c>
    </row>
    <row r="61" spans="1:10" x14ac:dyDescent="0.25">
      <c r="A61" t="s">
        <v>13</v>
      </c>
      <c r="B61">
        <v>58</v>
      </c>
      <c r="C61">
        <v>10</v>
      </c>
      <c r="D61" t="s">
        <v>12</v>
      </c>
      <c r="E61">
        <v>0.1474</v>
      </c>
      <c r="F61">
        <v>0.39400000000000002</v>
      </c>
      <c r="G61">
        <v>1.0187999999999999</v>
      </c>
      <c r="H61">
        <v>325</v>
      </c>
      <c r="I61">
        <v>535</v>
      </c>
      <c r="J61">
        <v>77.040000000000006</v>
      </c>
    </row>
    <row r="62" spans="1:10" x14ac:dyDescent="0.25">
      <c r="A62" t="s">
        <v>13</v>
      </c>
      <c r="B62">
        <v>58</v>
      </c>
      <c r="C62">
        <v>11</v>
      </c>
      <c r="D62" t="s">
        <v>12</v>
      </c>
      <c r="E62">
        <v>0.1704</v>
      </c>
      <c r="F62">
        <v>0.19420000000000001</v>
      </c>
      <c r="G62">
        <v>1.0187999999999999</v>
      </c>
      <c r="H62">
        <v>325</v>
      </c>
      <c r="I62">
        <v>535</v>
      </c>
      <c r="J62">
        <v>77.040000000000006</v>
      </c>
    </row>
    <row r="63" spans="1:10" x14ac:dyDescent="0.25">
      <c r="A63" t="s">
        <v>13</v>
      </c>
      <c r="B63">
        <v>58</v>
      </c>
      <c r="C63">
        <v>12</v>
      </c>
      <c r="D63" t="s">
        <v>12</v>
      </c>
      <c r="E63">
        <v>0.1346</v>
      </c>
      <c r="F63">
        <v>0.30499999999999999</v>
      </c>
      <c r="G63">
        <v>1.0187999999999999</v>
      </c>
      <c r="H63">
        <v>325</v>
      </c>
      <c r="I63">
        <v>535</v>
      </c>
      <c r="J63">
        <v>77.040000000000006</v>
      </c>
    </row>
    <row r="64" spans="1:10" x14ac:dyDescent="0.25">
      <c r="A64" t="s">
        <v>13</v>
      </c>
      <c r="B64">
        <v>58</v>
      </c>
      <c r="C64">
        <v>13</v>
      </c>
      <c r="D64" t="s">
        <v>12</v>
      </c>
      <c r="E64">
        <v>7.9000000000000001E-2</v>
      </c>
      <c r="F64">
        <v>2.0899999999999998E-2</v>
      </c>
      <c r="G64">
        <v>1.0187999999999999</v>
      </c>
      <c r="H64">
        <v>325</v>
      </c>
      <c r="I64">
        <v>535</v>
      </c>
      <c r="J64">
        <v>77.040000000000006</v>
      </c>
    </row>
    <row r="65" spans="1:10" x14ac:dyDescent="0.25">
      <c r="A65" t="s">
        <v>13</v>
      </c>
      <c r="B65">
        <v>63</v>
      </c>
      <c r="C65">
        <v>1</v>
      </c>
      <c r="D65" t="s">
        <v>11</v>
      </c>
      <c r="E65">
        <v>0.1484</v>
      </c>
      <c r="F65">
        <v>0.17349999999999999</v>
      </c>
      <c r="G65">
        <v>2.0865</v>
      </c>
      <c r="H65">
        <v>375</v>
      </c>
      <c r="I65">
        <v>600</v>
      </c>
      <c r="J65">
        <v>97.15</v>
      </c>
    </row>
    <row r="66" spans="1:10" x14ac:dyDescent="0.25">
      <c r="A66" t="s">
        <v>13</v>
      </c>
      <c r="B66">
        <v>63</v>
      </c>
      <c r="C66">
        <v>2</v>
      </c>
      <c r="D66" t="s">
        <v>11</v>
      </c>
      <c r="E66">
        <v>0.16889999999999999</v>
      </c>
      <c r="F66">
        <v>0.1772</v>
      </c>
      <c r="G66">
        <v>2.0865</v>
      </c>
      <c r="H66">
        <v>375</v>
      </c>
      <c r="I66">
        <v>600</v>
      </c>
      <c r="J66">
        <v>97.15</v>
      </c>
    </row>
    <row r="67" spans="1:10" x14ac:dyDescent="0.25">
      <c r="A67" t="s">
        <v>13</v>
      </c>
      <c r="B67">
        <v>63</v>
      </c>
      <c r="C67">
        <v>3</v>
      </c>
      <c r="D67" t="s">
        <v>11</v>
      </c>
      <c r="E67">
        <v>0.1704</v>
      </c>
      <c r="F67">
        <v>0.2056</v>
      </c>
      <c r="G67">
        <v>2.0865</v>
      </c>
      <c r="H67">
        <v>375</v>
      </c>
      <c r="I67">
        <v>600</v>
      </c>
      <c r="J67">
        <v>97.15</v>
      </c>
    </row>
    <row r="68" spans="1:10" x14ac:dyDescent="0.25">
      <c r="A68" t="s">
        <v>13</v>
      </c>
      <c r="B68">
        <v>63</v>
      </c>
      <c r="C68">
        <v>5</v>
      </c>
      <c r="D68" t="s">
        <v>11</v>
      </c>
      <c r="E68">
        <v>0.17979999999999999</v>
      </c>
      <c r="F68">
        <v>0.2228</v>
      </c>
      <c r="G68">
        <v>2.0865</v>
      </c>
      <c r="H68">
        <v>375</v>
      </c>
      <c r="I68">
        <v>600</v>
      </c>
      <c r="J68">
        <v>97.15</v>
      </c>
    </row>
    <row r="69" spans="1:10" x14ac:dyDescent="0.25">
      <c r="A69" t="s">
        <v>13</v>
      </c>
      <c r="B69">
        <v>63</v>
      </c>
      <c r="C69">
        <v>6</v>
      </c>
      <c r="D69" t="s">
        <v>11</v>
      </c>
      <c r="E69">
        <v>0.16869999999999999</v>
      </c>
      <c r="F69">
        <v>0.20649999999999999</v>
      </c>
      <c r="G69">
        <v>2.0865</v>
      </c>
      <c r="H69">
        <v>375</v>
      </c>
      <c r="I69">
        <v>600</v>
      </c>
      <c r="J69">
        <v>97.15</v>
      </c>
    </row>
    <row r="70" spans="1:10" x14ac:dyDescent="0.25">
      <c r="A70" t="s">
        <v>13</v>
      </c>
      <c r="B70">
        <v>63</v>
      </c>
      <c r="C70">
        <v>7</v>
      </c>
      <c r="D70" t="s">
        <v>11</v>
      </c>
      <c r="E70">
        <v>0.1701</v>
      </c>
      <c r="F70">
        <v>0.17810000000000001</v>
      </c>
      <c r="G70">
        <v>2.0865</v>
      </c>
      <c r="H70">
        <v>375</v>
      </c>
      <c r="I70">
        <v>600</v>
      </c>
      <c r="J70">
        <v>97.15</v>
      </c>
    </row>
    <row r="71" spans="1:10" x14ac:dyDescent="0.25">
      <c r="A71" t="s">
        <v>13</v>
      </c>
      <c r="B71">
        <v>63</v>
      </c>
      <c r="C71">
        <v>8</v>
      </c>
      <c r="D71" t="s">
        <v>11</v>
      </c>
      <c r="E71">
        <v>0.16389999999999999</v>
      </c>
      <c r="F71">
        <v>0.21110000000000001</v>
      </c>
      <c r="G71">
        <v>2.0865</v>
      </c>
      <c r="H71">
        <v>375</v>
      </c>
      <c r="I71">
        <v>600</v>
      </c>
      <c r="J71">
        <v>97.15</v>
      </c>
    </row>
    <row r="72" spans="1:10" x14ac:dyDescent="0.25">
      <c r="A72" t="s">
        <v>13</v>
      </c>
      <c r="B72">
        <v>63</v>
      </c>
      <c r="C72">
        <v>9</v>
      </c>
      <c r="D72" t="s">
        <v>11</v>
      </c>
      <c r="E72">
        <v>0.1608</v>
      </c>
      <c r="F72">
        <v>0.21909999999999999</v>
      </c>
      <c r="G72">
        <v>2.0865</v>
      </c>
      <c r="H72">
        <v>375</v>
      </c>
      <c r="I72">
        <v>600</v>
      </c>
      <c r="J72">
        <v>97.15</v>
      </c>
    </row>
    <row r="73" spans="1:10" x14ac:dyDescent="0.25">
      <c r="A73" t="s">
        <v>13</v>
      </c>
      <c r="B73">
        <v>63</v>
      </c>
      <c r="C73">
        <v>13</v>
      </c>
      <c r="D73" t="s">
        <v>11</v>
      </c>
      <c r="E73">
        <v>0.1575</v>
      </c>
      <c r="F73">
        <v>0.19009999999999999</v>
      </c>
      <c r="G73">
        <v>2.0865</v>
      </c>
      <c r="H73">
        <v>375</v>
      </c>
      <c r="I73">
        <v>600</v>
      </c>
      <c r="J73">
        <v>97.15</v>
      </c>
    </row>
    <row r="74" spans="1:10" x14ac:dyDescent="0.25">
      <c r="A74" t="s">
        <v>13</v>
      </c>
      <c r="B74">
        <v>63</v>
      </c>
      <c r="C74">
        <v>14</v>
      </c>
      <c r="D74" t="s">
        <v>11</v>
      </c>
      <c r="E74">
        <v>0.1666</v>
      </c>
      <c r="F74">
        <v>0.20710000000000001</v>
      </c>
      <c r="G74">
        <v>2.0865</v>
      </c>
      <c r="H74">
        <v>375</v>
      </c>
      <c r="I74">
        <v>600</v>
      </c>
      <c r="J74">
        <v>97.15</v>
      </c>
    </row>
    <row r="75" spans="1:10" x14ac:dyDescent="0.25">
      <c r="A75" t="s">
        <v>13</v>
      </c>
      <c r="B75">
        <v>63</v>
      </c>
      <c r="C75">
        <v>4</v>
      </c>
      <c r="D75" t="s">
        <v>12</v>
      </c>
      <c r="E75">
        <v>0.15740000000000001</v>
      </c>
      <c r="F75">
        <v>9.3799999999999994E-2</v>
      </c>
      <c r="G75">
        <v>2.0865</v>
      </c>
      <c r="H75">
        <v>375</v>
      </c>
      <c r="I75">
        <v>600</v>
      </c>
      <c r="J75">
        <v>97.15</v>
      </c>
    </row>
    <row r="76" spans="1:10" x14ac:dyDescent="0.25">
      <c r="A76" t="s">
        <v>13</v>
      </c>
      <c r="B76">
        <v>63</v>
      </c>
      <c r="C76">
        <v>10</v>
      </c>
      <c r="D76" t="s">
        <v>12</v>
      </c>
      <c r="E76">
        <v>0.18410000000000001</v>
      </c>
      <c r="F76">
        <v>0.21379999999999999</v>
      </c>
      <c r="G76">
        <v>2.0865</v>
      </c>
      <c r="H76">
        <v>375</v>
      </c>
      <c r="I76">
        <v>600</v>
      </c>
      <c r="J76">
        <v>97.15</v>
      </c>
    </row>
    <row r="77" spans="1:10" x14ac:dyDescent="0.25">
      <c r="A77" t="s">
        <v>13</v>
      </c>
      <c r="B77">
        <v>63</v>
      </c>
      <c r="C77">
        <v>11</v>
      </c>
      <c r="D77" t="s">
        <v>12</v>
      </c>
      <c r="E77">
        <v>0.16500000000000001</v>
      </c>
      <c r="F77">
        <v>0.1764</v>
      </c>
      <c r="G77">
        <v>2.0865</v>
      </c>
      <c r="H77">
        <v>375</v>
      </c>
      <c r="I77">
        <v>600</v>
      </c>
      <c r="J77">
        <v>97.15</v>
      </c>
    </row>
    <row r="78" spans="1:10" x14ac:dyDescent="0.25">
      <c r="A78" t="s">
        <v>13</v>
      </c>
      <c r="B78">
        <v>63</v>
      </c>
      <c r="C78">
        <v>12</v>
      </c>
      <c r="D78" t="s">
        <v>12</v>
      </c>
      <c r="E78">
        <v>0.17979999999999999</v>
      </c>
      <c r="F78">
        <v>0.22159999999999999</v>
      </c>
      <c r="G78">
        <v>2.0865</v>
      </c>
      <c r="H78">
        <v>375</v>
      </c>
      <c r="I78">
        <v>600</v>
      </c>
      <c r="J78">
        <v>97.15</v>
      </c>
    </row>
    <row r="79" spans="1:10" x14ac:dyDescent="0.25">
      <c r="A79" t="s">
        <v>13</v>
      </c>
      <c r="B79">
        <v>63</v>
      </c>
      <c r="C79">
        <v>15</v>
      </c>
      <c r="D79" t="s">
        <v>12</v>
      </c>
      <c r="E79">
        <v>0.16289999999999999</v>
      </c>
      <c r="F79">
        <v>0.20100000000000001</v>
      </c>
      <c r="G79">
        <v>2.0865</v>
      </c>
      <c r="H79">
        <v>375</v>
      </c>
      <c r="I79">
        <v>600</v>
      </c>
      <c r="J79">
        <v>97.15</v>
      </c>
    </row>
    <row r="80" spans="1:10" x14ac:dyDescent="0.25">
      <c r="A80" t="s">
        <v>13</v>
      </c>
      <c r="B80">
        <v>63</v>
      </c>
      <c r="C80">
        <v>16</v>
      </c>
      <c r="D80" t="s">
        <v>12</v>
      </c>
      <c r="E80">
        <v>0.12740000000000001</v>
      </c>
      <c r="F80">
        <v>0.14430000000000001</v>
      </c>
      <c r="G80">
        <v>2.0865</v>
      </c>
      <c r="H80">
        <v>375</v>
      </c>
      <c r="I80">
        <v>600</v>
      </c>
      <c r="J80">
        <v>97.15</v>
      </c>
    </row>
    <row r="81" spans="1:10" x14ac:dyDescent="0.25">
      <c r="A81" t="s">
        <v>13</v>
      </c>
      <c r="B81">
        <v>63</v>
      </c>
      <c r="C81">
        <v>17</v>
      </c>
      <c r="D81" t="s">
        <v>12</v>
      </c>
      <c r="E81">
        <v>0.14349999999999999</v>
      </c>
      <c r="F81">
        <v>0.15820000000000001</v>
      </c>
      <c r="G81">
        <v>2.0865</v>
      </c>
      <c r="H81">
        <v>375</v>
      </c>
      <c r="I81">
        <v>600</v>
      </c>
      <c r="J81">
        <v>97.15</v>
      </c>
    </row>
    <row r="82" spans="1:10" x14ac:dyDescent="0.25">
      <c r="A82" t="s">
        <v>13</v>
      </c>
      <c r="B82">
        <v>63</v>
      </c>
      <c r="C82">
        <v>18</v>
      </c>
      <c r="D82" t="s">
        <v>12</v>
      </c>
      <c r="E82">
        <v>0.1447</v>
      </c>
      <c r="F82">
        <v>9.2600000000000002E-2</v>
      </c>
      <c r="G82">
        <v>2.0865</v>
      </c>
      <c r="H82">
        <v>375</v>
      </c>
      <c r="I82">
        <v>600</v>
      </c>
      <c r="J82">
        <v>97.15</v>
      </c>
    </row>
    <row r="83" spans="1:10" x14ac:dyDescent="0.25">
      <c r="A83" t="s">
        <v>13</v>
      </c>
      <c r="B83">
        <v>63</v>
      </c>
      <c r="C83">
        <v>19</v>
      </c>
      <c r="D83" t="s">
        <v>12</v>
      </c>
      <c r="E83">
        <v>0.15110000000000001</v>
      </c>
      <c r="F83">
        <v>0.17</v>
      </c>
      <c r="G83">
        <v>2.0865</v>
      </c>
      <c r="H83">
        <v>375</v>
      </c>
      <c r="I83">
        <v>600</v>
      </c>
      <c r="J83">
        <v>97.15</v>
      </c>
    </row>
    <row r="84" spans="1:10" x14ac:dyDescent="0.25">
      <c r="A84" t="s">
        <v>13</v>
      </c>
      <c r="B84">
        <v>63</v>
      </c>
      <c r="C84">
        <v>20</v>
      </c>
      <c r="D84" t="s">
        <v>12</v>
      </c>
      <c r="E84">
        <v>7.3099999999999998E-2</v>
      </c>
      <c r="F84">
        <v>4.1999999999999997E-3</v>
      </c>
      <c r="G84">
        <v>2.0865</v>
      </c>
      <c r="H84">
        <v>375</v>
      </c>
      <c r="I84">
        <v>600</v>
      </c>
      <c r="J84">
        <v>97.15</v>
      </c>
    </row>
    <row r="85" spans="1:10" x14ac:dyDescent="0.25">
      <c r="A85" t="s">
        <v>13</v>
      </c>
      <c r="B85">
        <v>80</v>
      </c>
      <c r="C85">
        <v>1</v>
      </c>
      <c r="D85" t="s">
        <v>12</v>
      </c>
      <c r="E85">
        <v>6.6900000000000001E-2</v>
      </c>
      <c r="F85">
        <v>0</v>
      </c>
      <c r="G85">
        <v>1.6456</v>
      </c>
      <c r="H85">
        <v>340</v>
      </c>
      <c r="I85">
        <v>595</v>
      </c>
      <c r="J85">
        <v>176.17</v>
      </c>
    </row>
    <row r="86" spans="1:10" x14ac:dyDescent="0.25">
      <c r="A86" t="s">
        <v>13</v>
      </c>
      <c r="B86">
        <v>80</v>
      </c>
      <c r="C86">
        <v>2</v>
      </c>
      <c r="D86" t="s">
        <v>12</v>
      </c>
      <c r="E86">
        <v>5.5300000000000002E-2</v>
      </c>
      <c r="F86">
        <v>0</v>
      </c>
      <c r="G86">
        <v>1.6456</v>
      </c>
      <c r="H86">
        <v>340</v>
      </c>
      <c r="I86">
        <v>595</v>
      </c>
      <c r="J86">
        <v>176.17</v>
      </c>
    </row>
    <row r="87" spans="1:10" x14ac:dyDescent="0.25">
      <c r="A87" t="s">
        <v>13</v>
      </c>
      <c r="B87">
        <v>80</v>
      </c>
      <c r="C87">
        <v>3</v>
      </c>
      <c r="D87" t="s">
        <v>12</v>
      </c>
      <c r="E87">
        <v>0.18240000000000001</v>
      </c>
      <c r="F87">
        <v>0.16819999999999999</v>
      </c>
      <c r="G87">
        <v>1.6456</v>
      </c>
      <c r="H87">
        <v>340</v>
      </c>
      <c r="I87">
        <v>595</v>
      </c>
      <c r="J87">
        <v>176.17</v>
      </c>
    </row>
    <row r="88" spans="1:10" x14ac:dyDescent="0.25">
      <c r="A88" t="s">
        <v>13</v>
      </c>
      <c r="B88">
        <v>80</v>
      </c>
      <c r="C88">
        <v>4</v>
      </c>
      <c r="D88" t="s">
        <v>12</v>
      </c>
      <c r="E88">
        <v>0.11</v>
      </c>
      <c r="F88">
        <v>1.55E-2</v>
      </c>
      <c r="G88">
        <v>1.6456</v>
      </c>
      <c r="H88">
        <v>340</v>
      </c>
      <c r="I88">
        <v>595</v>
      </c>
      <c r="J88">
        <v>176.17</v>
      </c>
    </row>
    <row r="89" spans="1:10" x14ac:dyDescent="0.25">
      <c r="A89" t="s">
        <v>13</v>
      </c>
      <c r="B89">
        <v>80</v>
      </c>
      <c r="C89">
        <v>5</v>
      </c>
      <c r="D89" t="s">
        <v>12</v>
      </c>
      <c r="E89">
        <v>0.1457</v>
      </c>
      <c r="F89">
        <v>8.09E-2</v>
      </c>
      <c r="G89">
        <v>1.6456</v>
      </c>
      <c r="H89">
        <v>340</v>
      </c>
      <c r="I89">
        <v>595</v>
      </c>
      <c r="J89">
        <v>176.17</v>
      </c>
    </row>
    <row r="90" spans="1:10" x14ac:dyDescent="0.25">
      <c r="A90" t="s">
        <v>13</v>
      </c>
      <c r="B90">
        <v>80</v>
      </c>
      <c r="C90">
        <v>6</v>
      </c>
      <c r="D90" t="s">
        <v>12</v>
      </c>
      <c r="E90">
        <v>0.1656</v>
      </c>
      <c r="F90">
        <v>0.16420000000000001</v>
      </c>
      <c r="G90">
        <v>1.6456</v>
      </c>
      <c r="H90">
        <v>340</v>
      </c>
      <c r="I90">
        <v>595</v>
      </c>
      <c r="J90">
        <v>176.17</v>
      </c>
    </row>
    <row r="91" spans="1:10" x14ac:dyDescent="0.25">
      <c r="A91" t="s">
        <v>13</v>
      </c>
      <c r="B91">
        <v>80</v>
      </c>
      <c r="C91">
        <v>7</v>
      </c>
      <c r="D91" t="s">
        <v>12</v>
      </c>
      <c r="E91">
        <v>0.18459999999999999</v>
      </c>
      <c r="F91">
        <v>0.21940000000000001</v>
      </c>
      <c r="G91">
        <v>1.6456</v>
      </c>
      <c r="H91">
        <v>340</v>
      </c>
      <c r="I91">
        <v>595</v>
      </c>
      <c r="J91">
        <v>176.17</v>
      </c>
    </row>
    <row r="92" spans="1:10" x14ac:dyDescent="0.25">
      <c r="A92" t="s">
        <v>13</v>
      </c>
      <c r="B92">
        <v>80</v>
      </c>
      <c r="C92">
        <v>8</v>
      </c>
      <c r="D92" t="s">
        <v>12</v>
      </c>
      <c r="E92">
        <v>0.19620000000000001</v>
      </c>
      <c r="F92">
        <v>0.23649999999999999</v>
      </c>
      <c r="G92">
        <v>1.6456</v>
      </c>
      <c r="H92">
        <v>340</v>
      </c>
      <c r="I92">
        <v>595</v>
      </c>
      <c r="J92">
        <v>176.17</v>
      </c>
    </row>
    <row r="93" spans="1:10" x14ac:dyDescent="0.25">
      <c r="A93" t="s">
        <v>13</v>
      </c>
      <c r="B93">
        <v>80</v>
      </c>
      <c r="C93">
        <v>9</v>
      </c>
      <c r="D93" t="s">
        <v>12</v>
      </c>
      <c r="E93">
        <v>0.1898</v>
      </c>
      <c r="F93">
        <v>0.22109999999999999</v>
      </c>
      <c r="G93">
        <v>1.6456</v>
      </c>
      <c r="H93">
        <v>340</v>
      </c>
      <c r="I93">
        <v>595</v>
      </c>
      <c r="J93">
        <v>176.17</v>
      </c>
    </row>
    <row r="94" spans="1:10" x14ac:dyDescent="0.25">
      <c r="A94" t="s">
        <v>13</v>
      </c>
      <c r="B94">
        <v>80</v>
      </c>
      <c r="C94">
        <v>10</v>
      </c>
      <c r="D94" t="s">
        <v>12</v>
      </c>
      <c r="E94">
        <v>0.1847</v>
      </c>
      <c r="F94">
        <v>0.22620000000000001</v>
      </c>
      <c r="G94">
        <v>1.6456</v>
      </c>
      <c r="H94">
        <v>340</v>
      </c>
      <c r="I94">
        <v>595</v>
      </c>
      <c r="J94">
        <v>176.17</v>
      </c>
    </row>
    <row r="95" spans="1:10" x14ac:dyDescent="0.25">
      <c r="A95" t="s">
        <v>13</v>
      </c>
      <c r="B95">
        <v>80</v>
      </c>
      <c r="C95">
        <v>11</v>
      </c>
      <c r="D95" t="s">
        <v>12</v>
      </c>
      <c r="E95">
        <v>5.0500000000000003E-2</v>
      </c>
      <c r="F95">
        <v>0</v>
      </c>
      <c r="G95">
        <v>1.6456</v>
      </c>
      <c r="H95">
        <v>340</v>
      </c>
      <c r="I95">
        <v>595</v>
      </c>
      <c r="J95">
        <v>176.17</v>
      </c>
    </row>
    <row r="96" spans="1:10" x14ac:dyDescent="0.25">
      <c r="A96" t="s">
        <v>13</v>
      </c>
      <c r="B96">
        <v>80</v>
      </c>
      <c r="C96">
        <v>12</v>
      </c>
      <c r="D96" t="s">
        <v>12</v>
      </c>
      <c r="E96">
        <v>5.57E-2</v>
      </c>
      <c r="F96">
        <v>0</v>
      </c>
      <c r="G96">
        <v>1.6456</v>
      </c>
      <c r="H96">
        <v>340</v>
      </c>
      <c r="I96">
        <v>595</v>
      </c>
      <c r="J96">
        <v>176.17</v>
      </c>
    </row>
    <row r="97" spans="1:10" x14ac:dyDescent="0.25">
      <c r="A97" t="s">
        <v>13</v>
      </c>
      <c r="B97">
        <v>80</v>
      </c>
      <c r="C97">
        <v>13</v>
      </c>
      <c r="D97" t="s">
        <v>12</v>
      </c>
      <c r="E97">
        <v>0.17100000000000001</v>
      </c>
      <c r="F97">
        <v>0.1613</v>
      </c>
      <c r="G97">
        <v>1.6456</v>
      </c>
      <c r="H97">
        <v>340</v>
      </c>
      <c r="I97">
        <v>595</v>
      </c>
      <c r="J97">
        <v>176.17</v>
      </c>
    </row>
    <row r="98" spans="1:10" x14ac:dyDescent="0.25">
      <c r="A98" t="s">
        <v>13</v>
      </c>
      <c r="B98">
        <v>80</v>
      </c>
      <c r="C98">
        <v>14</v>
      </c>
      <c r="D98" t="s">
        <v>12</v>
      </c>
      <c r="E98">
        <v>5.16E-2</v>
      </c>
      <c r="F98">
        <v>0</v>
      </c>
      <c r="G98">
        <v>1.6456</v>
      </c>
      <c r="H98">
        <v>340</v>
      </c>
      <c r="I98">
        <v>595</v>
      </c>
      <c r="J98">
        <v>176.17</v>
      </c>
    </row>
    <row r="99" spans="1:10" x14ac:dyDescent="0.25">
      <c r="A99" t="s">
        <v>13</v>
      </c>
      <c r="B99">
        <v>80</v>
      </c>
      <c r="C99">
        <v>15</v>
      </c>
      <c r="D99" t="s">
        <v>12</v>
      </c>
      <c r="E99">
        <v>0.14779999999999999</v>
      </c>
      <c r="F99">
        <v>0.15140000000000001</v>
      </c>
      <c r="G99">
        <v>1.6456</v>
      </c>
      <c r="H99">
        <v>340</v>
      </c>
      <c r="I99">
        <v>595</v>
      </c>
      <c r="J99">
        <v>176.17</v>
      </c>
    </row>
    <row r="100" spans="1:10" x14ac:dyDescent="0.25">
      <c r="A100" t="s">
        <v>13</v>
      </c>
      <c r="B100">
        <v>80</v>
      </c>
      <c r="C100">
        <v>16</v>
      </c>
      <c r="D100" t="s">
        <v>12</v>
      </c>
      <c r="E100">
        <v>0.13880000000000001</v>
      </c>
      <c r="F100">
        <v>0.14449999999999999</v>
      </c>
      <c r="G100">
        <v>1.6456</v>
      </c>
      <c r="H100">
        <v>340</v>
      </c>
      <c r="I100">
        <v>595</v>
      </c>
      <c r="J100">
        <v>176.17</v>
      </c>
    </row>
    <row r="101" spans="1:10" x14ac:dyDescent="0.25">
      <c r="A101" t="s">
        <v>13</v>
      </c>
      <c r="B101">
        <v>102</v>
      </c>
      <c r="C101">
        <v>2</v>
      </c>
      <c r="D101" t="s">
        <v>11</v>
      </c>
      <c r="E101">
        <v>0.1381</v>
      </c>
      <c r="F101">
        <v>0.1026</v>
      </c>
      <c r="G101">
        <v>1.746</v>
      </c>
      <c r="H101">
        <v>360</v>
      </c>
      <c r="I101">
        <v>620</v>
      </c>
      <c r="J101">
        <v>64.63</v>
      </c>
    </row>
    <row r="102" spans="1:10" x14ac:dyDescent="0.25">
      <c r="A102" t="s">
        <v>13</v>
      </c>
      <c r="B102">
        <v>102</v>
      </c>
      <c r="C102">
        <v>3</v>
      </c>
      <c r="D102" t="s">
        <v>11</v>
      </c>
      <c r="E102">
        <v>0.14219999999999999</v>
      </c>
      <c r="F102">
        <v>0.1099</v>
      </c>
      <c r="G102">
        <v>1.746</v>
      </c>
      <c r="H102">
        <v>360</v>
      </c>
      <c r="I102">
        <v>620</v>
      </c>
      <c r="J102">
        <v>64.63</v>
      </c>
    </row>
    <row r="103" spans="1:10" x14ac:dyDescent="0.25">
      <c r="A103" t="s">
        <v>13</v>
      </c>
      <c r="B103">
        <v>102</v>
      </c>
      <c r="C103">
        <v>4</v>
      </c>
      <c r="D103" t="s">
        <v>11</v>
      </c>
      <c r="E103">
        <v>0.13100000000000001</v>
      </c>
      <c r="F103">
        <v>0.1032</v>
      </c>
      <c r="G103">
        <v>1.746</v>
      </c>
      <c r="H103">
        <v>360</v>
      </c>
      <c r="I103">
        <v>620</v>
      </c>
      <c r="J103">
        <v>64.63</v>
      </c>
    </row>
    <row r="104" spans="1:10" x14ac:dyDescent="0.25">
      <c r="A104" t="s">
        <v>13</v>
      </c>
      <c r="B104">
        <v>102</v>
      </c>
      <c r="C104">
        <v>5</v>
      </c>
      <c r="D104" t="s">
        <v>11</v>
      </c>
      <c r="E104">
        <v>0.1482</v>
      </c>
      <c r="F104">
        <v>0.1186</v>
      </c>
      <c r="G104">
        <v>1.746</v>
      </c>
      <c r="H104">
        <v>360</v>
      </c>
      <c r="I104">
        <v>620</v>
      </c>
      <c r="J104">
        <v>64.63</v>
      </c>
    </row>
    <row r="105" spans="1:10" x14ac:dyDescent="0.25">
      <c r="A105" t="s">
        <v>13</v>
      </c>
      <c r="B105">
        <v>102</v>
      </c>
      <c r="C105">
        <v>6</v>
      </c>
      <c r="D105" t="s">
        <v>11</v>
      </c>
      <c r="E105">
        <v>0.15140000000000001</v>
      </c>
      <c r="F105">
        <v>0.13619999999999999</v>
      </c>
      <c r="G105">
        <v>1.746</v>
      </c>
      <c r="H105">
        <v>360</v>
      </c>
      <c r="I105">
        <v>620</v>
      </c>
      <c r="J105">
        <v>64.63</v>
      </c>
    </row>
    <row r="106" spans="1:10" x14ac:dyDescent="0.25">
      <c r="A106" t="s">
        <v>13</v>
      </c>
      <c r="B106">
        <v>102</v>
      </c>
      <c r="C106">
        <v>7</v>
      </c>
      <c r="D106" t="s">
        <v>11</v>
      </c>
      <c r="E106">
        <v>0.13930000000000001</v>
      </c>
      <c r="F106">
        <v>0.13320000000000001</v>
      </c>
      <c r="G106">
        <v>1.746</v>
      </c>
      <c r="H106">
        <v>360</v>
      </c>
      <c r="I106">
        <v>620</v>
      </c>
      <c r="J106">
        <v>64.63</v>
      </c>
    </row>
    <row r="107" spans="1:10" x14ac:dyDescent="0.25">
      <c r="A107" t="s">
        <v>13</v>
      </c>
      <c r="B107">
        <v>102</v>
      </c>
      <c r="C107">
        <v>8</v>
      </c>
      <c r="D107" t="s">
        <v>11</v>
      </c>
      <c r="E107">
        <v>0.12720000000000001</v>
      </c>
      <c r="F107">
        <v>9.5200000000000007E-2</v>
      </c>
      <c r="G107">
        <v>1.746</v>
      </c>
      <c r="H107">
        <v>360</v>
      </c>
      <c r="I107">
        <v>620</v>
      </c>
      <c r="J107">
        <v>64.63</v>
      </c>
    </row>
    <row r="108" spans="1:10" x14ac:dyDescent="0.25">
      <c r="A108" t="s">
        <v>13</v>
      </c>
      <c r="B108">
        <v>102</v>
      </c>
      <c r="C108">
        <v>11</v>
      </c>
      <c r="D108" t="s">
        <v>11</v>
      </c>
      <c r="E108">
        <v>0.13370000000000001</v>
      </c>
      <c r="F108">
        <v>0.1147</v>
      </c>
      <c r="G108">
        <v>1.746</v>
      </c>
      <c r="H108">
        <v>360</v>
      </c>
      <c r="I108">
        <v>620</v>
      </c>
      <c r="J108">
        <v>64.63</v>
      </c>
    </row>
    <row r="109" spans="1:10" x14ac:dyDescent="0.25">
      <c r="A109" t="s">
        <v>13</v>
      </c>
      <c r="B109">
        <v>102</v>
      </c>
      <c r="C109">
        <v>12</v>
      </c>
      <c r="D109" t="s">
        <v>11</v>
      </c>
      <c r="E109">
        <v>0.1464</v>
      </c>
      <c r="F109">
        <v>0.1164</v>
      </c>
      <c r="G109">
        <v>1.746</v>
      </c>
      <c r="H109">
        <v>360</v>
      </c>
      <c r="I109">
        <v>620</v>
      </c>
      <c r="J109">
        <v>64.63</v>
      </c>
    </row>
    <row r="110" spans="1:10" x14ac:dyDescent="0.25">
      <c r="A110" t="s">
        <v>13</v>
      </c>
      <c r="B110">
        <v>102</v>
      </c>
      <c r="C110">
        <v>13</v>
      </c>
      <c r="D110" t="s">
        <v>11</v>
      </c>
      <c r="E110">
        <v>0.1351</v>
      </c>
      <c r="F110">
        <v>0.1082</v>
      </c>
      <c r="G110">
        <v>1.746</v>
      </c>
      <c r="H110">
        <v>360</v>
      </c>
      <c r="I110">
        <v>620</v>
      </c>
      <c r="J110">
        <v>64.63</v>
      </c>
    </row>
    <row r="111" spans="1:10" x14ac:dyDescent="0.25">
      <c r="A111" t="s">
        <v>13</v>
      </c>
      <c r="B111">
        <v>102</v>
      </c>
      <c r="C111">
        <v>16</v>
      </c>
      <c r="D111" t="s">
        <v>11</v>
      </c>
      <c r="E111">
        <v>0.1116</v>
      </c>
      <c r="F111">
        <v>9.2499999999999999E-2</v>
      </c>
      <c r="G111">
        <v>1.746</v>
      </c>
      <c r="H111">
        <v>360</v>
      </c>
      <c r="I111">
        <v>620</v>
      </c>
      <c r="J111">
        <v>64.63</v>
      </c>
    </row>
    <row r="112" spans="1:10" x14ac:dyDescent="0.25">
      <c r="A112" t="s">
        <v>13</v>
      </c>
      <c r="B112">
        <v>102</v>
      </c>
      <c r="C112">
        <v>1</v>
      </c>
      <c r="D112" t="s">
        <v>12</v>
      </c>
      <c r="E112">
        <v>0.1487</v>
      </c>
      <c r="F112">
        <v>0.1212</v>
      </c>
      <c r="G112">
        <v>1.746</v>
      </c>
      <c r="H112">
        <v>360</v>
      </c>
      <c r="I112">
        <v>620</v>
      </c>
      <c r="J112">
        <v>64.63</v>
      </c>
    </row>
    <row r="113" spans="1:10" x14ac:dyDescent="0.25">
      <c r="A113" t="s">
        <v>13</v>
      </c>
      <c r="B113">
        <v>102</v>
      </c>
      <c r="C113">
        <v>9</v>
      </c>
      <c r="D113" t="s">
        <v>12</v>
      </c>
      <c r="E113">
        <v>0.15809999999999999</v>
      </c>
      <c r="F113">
        <v>0.1492</v>
      </c>
      <c r="G113">
        <v>1.746</v>
      </c>
      <c r="H113">
        <v>360</v>
      </c>
      <c r="I113">
        <v>620</v>
      </c>
      <c r="J113">
        <v>64.63</v>
      </c>
    </row>
    <row r="114" spans="1:10" x14ac:dyDescent="0.25">
      <c r="A114" t="s">
        <v>13</v>
      </c>
      <c r="B114">
        <v>102</v>
      </c>
      <c r="C114">
        <v>10</v>
      </c>
      <c r="D114" t="s">
        <v>12</v>
      </c>
      <c r="E114">
        <v>0.14230000000000001</v>
      </c>
      <c r="F114">
        <v>0.1326</v>
      </c>
      <c r="G114">
        <v>1.746</v>
      </c>
      <c r="H114">
        <v>360</v>
      </c>
      <c r="I114">
        <v>620</v>
      </c>
      <c r="J114">
        <v>64.63</v>
      </c>
    </row>
    <row r="115" spans="1:10" x14ac:dyDescent="0.25">
      <c r="A115" t="s">
        <v>13</v>
      </c>
      <c r="B115">
        <v>102</v>
      </c>
      <c r="C115">
        <v>14</v>
      </c>
      <c r="D115" t="s">
        <v>12</v>
      </c>
      <c r="E115">
        <v>0.121</v>
      </c>
      <c r="F115">
        <v>0.10199999999999999</v>
      </c>
      <c r="G115">
        <v>1.746</v>
      </c>
      <c r="H115">
        <v>360</v>
      </c>
      <c r="I115">
        <v>620</v>
      </c>
      <c r="J115">
        <v>64.63</v>
      </c>
    </row>
    <row r="116" spans="1:10" x14ac:dyDescent="0.25">
      <c r="A116" t="s">
        <v>13</v>
      </c>
      <c r="B116">
        <v>102</v>
      </c>
      <c r="C116">
        <v>15</v>
      </c>
      <c r="D116" t="s">
        <v>12</v>
      </c>
      <c r="E116">
        <v>0.1333</v>
      </c>
      <c r="F116">
        <v>0.1089</v>
      </c>
      <c r="G116">
        <v>1.746</v>
      </c>
      <c r="H116">
        <v>360</v>
      </c>
      <c r="I116">
        <v>620</v>
      </c>
      <c r="J116">
        <v>64.63</v>
      </c>
    </row>
    <row r="117" spans="1:10" x14ac:dyDescent="0.25">
      <c r="A117" t="s">
        <v>13</v>
      </c>
      <c r="B117">
        <v>107</v>
      </c>
      <c r="C117">
        <v>1</v>
      </c>
      <c r="D117" t="s">
        <v>12</v>
      </c>
      <c r="E117">
        <v>0.1032</v>
      </c>
      <c r="F117">
        <v>9.4000000000000004E-3</v>
      </c>
      <c r="G117">
        <v>0.84079999999999999</v>
      </c>
      <c r="H117">
        <v>235</v>
      </c>
      <c r="I117">
        <v>625</v>
      </c>
      <c r="J117">
        <v>120.94</v>
      </c>
    </row>
    <row r="118" spans="1:10" x14ac:dyDescent="0.25">
      <c r="A118" t="s">
        <v>13</v>
      </c>
      <c r="B118">
        <v>107</v>
      </c>
      <c r="C118">
        <v>2</v>
      </c>
      <c r="D118" t="s">
        <v>12</v>
      </c>
      <c r="E118">
        <v>6.5199999999999994E-2</v>
      </c>
      <c r="F118">
        <v>8.0000000000000004E-4</v>
      </c>
      <c r="G118">
        <v>0.84079999999999999</v>
      </c>
      <c r="H118">
        <v>235</v>
      </c>
      <c r="I118">
        <v>625</v>
      </c>
      <c r="J118">
        <v>120.94</v>
      </c>
    </row>
    <row r="119" spans="1:10" x14ac:dyDescent="0.25">
      <c r="A119" t="s">
        <v>13</v>
      </c>
      <c r="B119">
        <v>107</v>
      </c>
      <c r="C119">
        <v>3</v>
      </c>
      <c r="D119" t="s">
        <v>12</v>
      </c>
      <c r="E119">
        <v>0.1178</v>
      </c>
      <c r="F119">
        <v>2.52E-2</v>
      </c>
      <c r="G119">
        <v>0.84079999999999999</v>
      </c>
      <c r="H119">
        <v>235</v>
      </c>
      <c r="I119">
        <v>625</v>
      </c>
      <c r="J119">
        <v>120.94</v>
      </c>
    </row>
    <row r="120" spans="1:10" x14ac:dyDescent="0.25">
      <c r="A120" t="s">
        <v>13</v>
      </c>
      <c r="B120">
        <v>107</v>
      </c>
      <c r="C120">
        <v>4</v>
      </c>
      <c r="D120" t="s">
        <v>12</v>
      </c>
      <c r="E120">
        <v>0.1079</v>
      </c>
      <c r="F120">
        <v>1.09E-2</v>
      </c>
      <c r="G120">
        <v>0.84079999999999999</v>
      </c>
      <c r="H120">
        <v>235</v>
      </c>
      <c r="I120">
        <v>625</v>
      </c>
      <c r="J120">
        <v>120.94</v>
      </c>
    </row>
    <row r="121" spans="1:10" x14ac:dyDescent="0.25">
      <c r="A121" t="s">
        <v>13</v>
      </c>
      <c r="B121">
        <v>107</v>
      </c>
      <c r="C121">
        <v>5</v>
      </c>
      <c r="D121" t="s">
        <v>12</v>
      </c>
      <c r="E121">
        <v>0.1128</v>
      </c>
      <c r="F121">
        <v>1.6500000000000001E-2</v>
      </c>
      <c r="G121">
        <v>0.84079999999999999</v>
      </c>
      <c r="H121">
        <v>235</v>
      </c>
      <c r="I121">
        <v>625</v>
      </c>
      <c r="J121">
        <v>120.94</v>
      </c>
    </row>
    <row r="122" spans="1:10" x14ac:dyDescent="0.25">
      <c r="A122" t="s">
        <v>13</v>
      </c>
      <c r="B122">
        <v>107</v>
      </c>
      <c r="C122">
        <v>6</v>
      </c>
      <c r="D122" t="s">
        <v>12</v>
      </c>
      <c r="E122">
        <v>4.5499999999999999E-2</v>
      </c>
      <c r="F122">
        <v>0</v>
      </c>
      <c r="G122">
        <v>0.84079999999999999</v>
      </c>
      <c r="H122">
        <v>235</v>
      </c>
      <c r="I122">
        <v>625</v>
      </c>
      <c r="J122">
        <v>120.94</v>
      </c>
    </row>
    <row r="123" spans="1:10" x14ac:dyDescent="0.25">
      <c r="A123" t="s">
        <v>13</v>
      </c>
      <c r="B123">
        <v>107</v>
      </c>
      <c r="C123">
        <v>7</v>
      </c>
      <c r="D123" t="s">
        <v>12</v>
      </c>
      <c r="E123">
        <v>0.1706</v>
      </c>
      <c r="F123">
        <v>0.1278</v>
      </c>
      <c r="G123">
        <v>0.84079999999999999</v>
      </c>
      <c r="H123">
        <v>235</v>
      </c>
      <c r="I123">
        <v>625</v>
      </c>
      <c r="J123">
        <v>120.94</v>
      </c>
    </row>
    <row r="124" spans="1:10" x14ac:dyDescent="0.25">
      <c r="A124" t="s">
        <v>13</v>
      </c>
      <c r="B124">
        <v>107</v>
      </c>
      <c r="C124">
        <v>8</v>
      </c>
      <c r="D124" t="s">
        <v>12</v>
      </c>
      <c r="E124">
        <v>0.1052</v>
      </c>
      <c r="F124">
        <v>2.4500000000000001E-2</v>
      </c>
      <c r="G124">
        <v>0.84079999999999999</v>
      </c>
      <c r="H124">
        <v>235</v>
      </c>
      <c r="I124">
        <v>625</v>
      </c>
      <c r="J124">
        <v>120.94</v>
      </c>
    </row>
    <row r="125" spans="1:10" x14ac:dyDescent="0.25">
      <c r="A125" t="s">
        <v>13</v>
      </c>
      <c r="B125">
        <v>107</v>
      </c>
      <c r="C125">
        <v>9</v>
      </c>
      <c r="D125" t="s">
        <v>12</v>
      </c>
      <c r="E125">
        <v>0.21440000000000001</v>
      </c>
      <c r="F125">
        <v>0</v>
      </c>
      <c r="G125">
        <v>0.84079999999999999</v>
      </c>
      <c r="H125">
        <v>235</v>
      </c>
      <c r="I125">
        <v>625</v>
      </c>
      <c r="J125">
        <v>120.94</v>
      </c>
    </row>
    <row r="126" spans="1:10" x14ac:dyDescent="0.25">
      <c r="A126" t="s">
        <v>13</v>
      </c>
      <c r="B126">
        <v>107</v>
      </c>
      <c r="C126">
        <v>10</v>
      </c>
      <c r="D126" t="s">
        <v>12</v>
      </c>
      <c r="E126">
        <v>0.14929999999999999</v>
      </c>
      <c r="F126">
        <v>0.32319999999999999</v>
      </c>
      <c r="G126">
        <v>0.84079999999999999</v>
      </c>
      <c r="H126">
        <v>235</v>
      </c>
      <c r="I126">
        <v>625</v>
      </c>
      <c r="J126">
        <v>120.94</v>
      </c>
    </row>
    <row r="127" spans="1:10" x14ac:dyDescent="0.25">
      <c r="A127" t="s">
        <v>13</v>
      </c>
      <c r="B127">
        <v>107</v>
      </c>
      <c r="C127">
        <v>11</v>
      </c>
      <c r="D127" t="s">
        <v>12</v>
      </c>
      <c r="E127">
        <v>9.9500000000000005E-2</v>
      </c>
      <c r="F127">
        <v>5.9499999999999997E-2</v>
      </c>
      <c r="G127">
        <v>0.84079999999999999</v>
      </c>
      <c r="H127">
        <v>235</v>
      </c>
      <c r="I127">
        <v>625</v>
      </c>
      <c r="J127">
        <v>120.94</v>
      </c>
    </row>
    <row r="128" spans="1:10" x14ac:dyDescent="0.25">
      <c r="A128" t="s">
        <v>13</v>
      </c>
      <c r="B128">
        <v>107</v>
      </c>
      <c r="C128">
        <v>12</v>
      </c>
      <c r="D128" t="s">
        <v>12</v>
      </c>
      <c r="E128">
        <v>0.14710000000000001</v>
      </c>
      <c r="F128">
        <v>0.30640000000000001</v>
      </c>
      <c r="G128">
        <v>0.84079999999999999</v>
      </c>
      <c r="H128">
        <v>235</v>
      </c>
      <c r="I128">
        <v>625</v>
      </c>
      <c r="J128">
        <v>120.94</v>
      </c>
    </row>
    <row r="129" spans="1:10" x14ac:dyDescent="0.25">
      <c r="A129" t="s">
        <v>13</v>
      </c>
      <c r="B129">
        <v>109</v>
      </c>
      <c r="C129">
        <v>6</v>
      </c>
      <c r="D129" t="s">
        <v>11</v>
      </c>
      <c r="E129">
        <v>0.1968</v>
      </c>
      <c r="F129">
        <v>0.30449999999999999</v>
      </c>
      <c r="G129">
        <v>1.7186999999999999</v>
      </c>
      <c r="H129" s="1">
        <v>360</v>
      </c>
      <c r="I129">
        <v>550</v>
      </c>
      <c r="J129">
        <v>117.38</v>
      </c>
    </row>
    <row r="130" spans="1:10" x14ac:dyDescent="0.25">
      <c r="A130" t="s">
        <v>13</v>
      </c>
      <c r="B130">
        <v>109</v>
      </c>
      <c r="C130">
        <v>7</v>
      </c>
      <c r="D130" t="s">
        <v>11</v>
      </c>
      <c r="E130">
        <v>0.19</v>
      </c>
      <c r="F130">
        <v>0.25309999999999999</v>
      </c>
      <c r="G130">
        <v>1.7186999999999999</v>
      </c>
      <c r="H130" s="1">
        <v>360</v>
      </c>
      <c r="I130">
        <v>550</v>
      </c>
      <c r="J130">
        <v>117.38</v>
      </c>
    </row>
    <row r="131" spans="1:10" x14ac:dyDescent="0.25">
      <c r="A131" t="s">
        <v>13</v>
      </c>
      <c r="B131">
        <v>109</v>
      </c>
      <c r="C131">
        <v>12</v>
      </c>
      <c r="D131" t="s">
        <v>11</v>
      </c>
      <c r="E131">
        <v>0.16209999999999999</v>
      </c>
      <c r="F131">
        <v>0.1764</v>
      </c>
      <c r="G131">
        <v>1.7186999999999999</v>
      </c>
      <c r="H131" s="1">
        <v>360</v>
      </c>
      <c r="I131">
        <v>550</v>
      </c>
      <c r="J131">
        <v>117.38</v>
      </c>
    </row>
    <row r="132" spans="1:10" x14ac:dyDescent="0.25">
      <c r="A132" t="s">
        <v>13</v>
      </c>
      <c r="B132">
        <v>109</v>
      </c>
      <c r="C132">
        <v>14</v>
      </c>
      <c r="D132" t="s">
        <v>11</v>
      </c>
      <c r="E132">
        <v>5.8999999999999997E-2</v>
      </c>
      <c r="F132">
        <v>0</v>
      </c>
      <c r="G132">
        <v>1.7186999999999999</v>
      </c>
      <c r="H132" s="1">
        <v>360</v>
      </c>
      <c r="I132">
        <v>550</v>
      </c>
      <c r="J132">
        <v>117.38</v>
      </c>
    </row>
    <row r="133" spans="1:10" x14ac:dyDescent="0.25">
      <c r="A133" t="s">
        <v>13</v>
      </c>
      <c r="B133">
        <v>109</v>
      </c>
      <c r="C133">
        <v>1</v>
      </c>
      <c r="D133" t="s">
        <v>12</v>
      </c>
      <c r="E133">
        <v>0.10150000000000001</v>
      </c>
      <c r="F133">
        <v>2.2000000000000001E-3</v>
      </c>
      <c r="G133">
        <v>1.7186999999999999</v>
      </c>
      <c r="H133">
        <v>360</v>
      </c>
      <c r="I133">
        <v>550</v>
      </c>
      <c r="J133">
        <v>117.38</v>
      </c>
    </row>
    <row r="134" spans="1:10" x14ac:dyDescent="0.25">
      <c r="A134" t="s">
        <v>13</v>
      </c>
      <c r="B134">
        <v>109</v>
      </c>
      <c r="C134">
        <v>2</v>
      </c>
      <c r="D134" t="s">
        <v>12</v>
      </c>
      <c r="E134">
        <v>0.2122</v>
      </c>
      <c r="F134">
        <v>0.26290000000000002</v>
      </c>
      <c r="G134">
        <v>1.7186999999999999</v>
      </c>
      <c r="H134">
        <v>360</v>
      </c>
      <c r="I134">
        <v>550</v>
      </c>
      <c r="J134">
        <v>117.38</v>
      </c>
    </row>
    <row r="135" spans="1:10" x14ac:dyDescent="0.25">
      <c r="A135" t="s">
        <v>13</v>
      </c>
      <c r="B135">
        <v>109</v>
      </c>
      <c r="C135">
        <v>3</v>
      </c>
      <c r="D135" t="s">
        <v>12</v>
      </c>
      <c r="E135">
        <v>0.19689999999999999</v>
      </c>
      <c r="F135">
        <v>0.1885</v>
      </c>
      <c r="G135">
        <v>1.7186999999999999</v>
      </c>
      <c r="H135">
        <v>360</v>
      </c>
      <c r="I135">
        <v>550</v>
      </c>
      <c r="J135">
        <v>117.38</v>
      </c>
    </row>
    <row r="136" spans="1:10" x14ac:dyDescent="0.25">
      <c r="A136" t="s">
        <v>13</v>
      </c>
      <c r="B136">
        <v>109</v>
      </c>
      <c r="C136">
        <v>4</v>
      </c>
      <c r="D136" t="s">
        <v>12</v>
      </c>
      <c r="E136">
        <v>0.2165</v>
      </c>
      <c r="F136">
        <v>0.3196</v>
      </c>
      <c r="G136">
        <v>1.7186999999999999</v>
      </c>
      <c r="H136">
        <v>360</v>
      </c>
      <c r="I136">
        <v>550</v>
      </c>
      <c r="J136">
        <v>117.38</v>
      </c>
    </row>
    <row r="137" spans="1:10" x14ac:dyDescent="0.25">
      <c r="A137" t="s">
        <v>13</v>
      </c>
      <c r="B137">
        <v>109</v>
      </c>
      <c r="C137">
        <v>5</v>
      </c>
      <c r="D137" t="s">
        <v>12</v>
      </c>
      <c r="E137">
        <v>0.18229999999999999</v>
      </c>
      <c r="F137">
        <v>0.2172</v>
      </c>
      <c r="G137">
        <v>1.7186999999999999</v>
      </c>
      <c r="H137">
        <v>360</v>
      </c>
      <c r="I137">
        <v>550</v>
      </c>
      <c r="J137">
        <v>117.38</v>
      </c>
    </row>
    <row r="138" spans="1:10" x14ac:dyDescent="0.25">
      <c r="A138" t="s">
        <v>13</v>
      </c>
      <c r="B138">
        <v>109</v>
      </c>
      <c r="C138">
        <v>8</v>
      </c>
      <c r="D138" t="s">
        <v>12</v>
      </c>
      <c r="E138">
        <v>0.22359999999999999</v>
      </c>
      <c r="F138">
        <v>0.30980000000000002</v>
      </c>
      <c r="G138">
        <v>1.7186999999999999</v>
      </c>
      <c r="H138">
        <v>360</v>
      </c>
      <c r="I138">
        <v>550</v>
      </c>
      <c r="J138">
        <v>117.38</v>
      </c>
    </row>
    <row r="139" spans="1:10" x14ac:dyDescent="0.25">
      <c r="A139" t="s">
        <v>13</v>
      </c>
      <c r="B139">
        <v>109</v>
      </c>
      <c r="C139">
        <v>9</v>
      </c>
      <c r="D139" t="s">
        <v>12</v>
      </c>
      <c r="E139">
        <v>0.17150000000000001</v>
      </c>
      <c r="F139">
        <v>0.14829999999999999</v>
      </c>
      <c r="G139">
        <v>1.7186999999999999</v>
      </c>
      <c r="H139">
        <v>360</v>
      </c>
      <c r="I139">
        <v>550</v>
      </c>
      <c r="J139">
        <v>117.38</v>
      </c>
    </row>
    <row r="140" spans="1:10" x14ac:dyDescent="0.25">
      <c r="A140" t="s">
        <v>13</v>
      </c>
      <c r="B140">
        <v>109</v>
      </c>
      <c r="C140">
        <v>10</v>
      </c>
      <c r="D140" t="s">
        <v>12</v>
      </c>
      <c r="E140">
        <v>0.1547</v>
      </c>
      <c r="F140">
        <v>4.9099999999999998E-2</v>
      </c>
      <c r="G140">
        <v>1.7186999999999999</v>
      </c>
      <c r="H140">
        <v>360</v>
      </c>
      <c r="I140">
        <v>550</v>
      </c>
      <c r="J140">
        <v>117.38</v>
      </c>
    </row>
    <row r="141" spans="1:10" x14ac:dyDescent="0.25">
      <c r="A141" t="s">
        <v>13</v>
      </c>
      <c r="B141">
        <v>109</v>
      </c>
      <c r="C141">
        <v>11</v>
      </c>
      <c r="D141" t="s">
        <v>12</v>
      </c>
      <c r="E141">
        <v>0.1215</v>
      </c>
      <c r="F141">
        <v>3.2899999999999999E-2</v>
      </c>
      <c r="G141">
        <v>1.7186999999999999</v>
      </c>
      <c r="H141">
        <v>360</v>
      </c>
      <c r="I141">
        <v>550</v>
      </c>
      <c r="J141">
        <v>117.38</v>
      </c>
    </row>
    <row r="142" spans="1:10" x14ac:dyDescent="0.25">
      <c r="A142" t="s">
        <v>13</v>
      </c>
      <c r="B142">
        <v>109</v>
      </c>
      <c r="C142">
        <v>13</v>
      </c>
      <c r="D142" t="s">
        <v>12</v>
      </c>
      <c r="E142">
        <v>0.16550000000000001</v>
      </c>
      <c r="F142">
        <v>0.22259999999999999</v>
      </c>
      <c r="G142">
        <v>1.7186999999999999</v>
      </c>
      <c r="H142">
        <v>360</v>
      </c>
      <c r="I142">
        <v>550</v>
      </c>
      <c r="J142">
        <v>117.38</v>
      </c>
    </row>
    <row r="143" spans="1:10" x14ac:dyDescent="0.25">
      <c r="A143" t="s">
        <v>13</v>
      </c>
      <c r="B143">
        <v>109</v>
      </c>
      <c r="C143">
        <v>15</v>
      </c>
      <c r="D143" t="s">
        <v>12</v>
      </c>
      <c r="E143">
        <v>0.14219999999999999</v>
      </c>
      <c r="F143">
        <v>0.19539999999999999</v>
      </c>
      <c r="G143">
        <v>1.7186999999999999</v>
      </c>
      <c r="H143">
        <v>360</v>
      </c>
      <c r="I143">
        <v>550</v>
      </c>
      <c r="J143">
        <v>117.38</v>
      </c>
    </row>
    <row r="144" spans="1:10" x14ac:dyDescent="0.25">
      <c r="A144" t="s">
        <v>13</v>
      </c>
      <c r="B144">
        <v>109</v>
      </c>
      <c r="C144">
        <v>16</v>
      </c>
      <c r="D144" t="s">
        <v>12</v>
      </c>
      <c r="E144">
        <v>0.16950000000000001</v>
      </c>
      <c r="F144">
        <v>0.2339</v>
      </c>
      <c r="G144">
        <v>1.7186999999999999</v>
      </c>
      <c r="H144">
        <v>360</v>
      </c>
      <c r="I144">
        <v>550</v>
      </c>
      <c r="J144">
        <v>117.38</v>
      </c>
    </row>
    <row r="145" spans="1:10" x14ac:dyDescent="0.25">
      <c r="A145" t="s">
        <v>13</v>
      </c>
      <c r="B145">
        <v>111</v>
      </c>
      <c r="C145">
        <v>1</v>
      </c>
      <c r="D145" t="s">
        <v>12</v>
      </c>
      <c r="E145">
        <v>0.17879999999999999</v>
      </c>
      <c r="F145">
        <v>0.2092</v>
      </c>
      <c r="G145">
        <v>1.8287</v>
      </c>
      <c r="H145">
        <v>360</v>
      </c>
      <c r="I145">
        <v>670</v>
      </c>
      <c r="J145">
        <v>145.72999999999999</v>
      </c>
    </row>
    <row r="146" spans="1:10" x14ac:dyDescent="0.25">
      <c r="A146" t="s">
        <v>13</v>
      </c>
      <c r="B146">
        <v>111</v>
      </c>
      <c r="C146">
        <v>2</v>
      </c>
      <c r="D146" t="s">
        <v>12</v>
      </c>
      <c r="E146">
        <v>0.14599999999999999</v>
      </c>
      <c r="F146">
        <v>0.1333</v>
      </c>
      <c r="G146">
        <v>1.8287</v>
      </c>
      <c r="H146">
        <v>360</v>
      </c>
      <c r="I146">
        <v>670</v>
      </c>
      <c r="J146">
        <v>145.72999999999999</v>
      </c>
    </row>
    <row r="147" spans="1:10" x14ac:dyDescent="0.25">
      <c r="A147" t="s">
        <v>13</v>
      </c>
      <c r="B147">
        <v>111</v>
      </c>
      <c r="C147">
        <v>3</v>
      </c>
      <c r="D147" t="s">
        <v>12</v>
      </c>
      <c r="E147">
        <v>0.14369999999999999</v>
      </c>
      <c r="F147">
        <v>0.13220000000000001</v>
      </c>
      <c r="G147">
        <v>1.8287</v>
      </c>
      <c r="H147">
        <v>360</v>
      </c>
      <c r="I147">
        <v>670</v>
      </c>
      <c r="J147">
        <v>145.72999999999999</v>
      </c>
    </row>
    <row r="148" spans="1:10" x14ac:dyDescent="0.25">
      <c r="A148" t="s">
        <v>13</v>
      </c>
      <c r="B148">
        <v>111</v>
      </c>
      <c r="C148">
        <v>4</v>
      </c>
      <c r="D148" t="s">
        <v>12</v>
      </c>
      <c r="E148">
        <v>0.16450000000000001</v>
      </c>
      <c r="F148">
        <v>0.1832</v>
      </c>
      <c r="G148">
        <v>1.8287</v>
      </c>
      <c r="H148">
        <v>360</v>
      </c>
      <c r="I148">
        <v>670</v>
      </c>
      <c r="J148">
        <v>145.72999999999999</v>
      </c>
    </row>
    <row r="149" spans="1:10" x14ac:dyDescent="0.25">
      <c r="A149" t="s">
        <v>13</v>
      </c>
      <c r="B149">
        <v>111</v>
      </c>
      <c r="C149">
        <v>5</v>
      </c>
      <c r="D149" t="s">
        <v>12</v>
      </c>
      <c r="E149">
        <v>0.15509999999999999</v>
      </c>
      <c r="F149">
        <v>0.17430000000000001</v>
      </c>
      <c r="G149">
        <v>1.8287</v>
      </c>
      <c r="H149">
        <v>360</v>
      </c>
      <c r="I149">
        <v>670</v>
      </c>
      <c r="J149">
        <v>145.72999999999999</v>
      </c>
    </row>
    <row r="150" spans="1:10" x14ac:dyDescent="0.25">
      <c r="A150" t="s">
        <v>13</v>
      </c>
      <c r="B150">
        <v>111</v>
      </c>
      <c r="C150">
        <v>6</v>
      </c>
      <c r="D150" t="s">
        <v>12</v>
      </c>
      <c r="E150">
        <v>0.18440000000000001</v>
      </c>
      <c r="F150">
        <v>0.2349</v>
      </c>
      <c r="G150">
        <v>1.8287</v>
      </c>
      <c r="H150">
        <v>360</v>
      </c>
      <c r="I150">
        <v>670</v>
      </c>
      <c r="J150">
        <v>145.72999999999999</v>
      </c>
    </row>
    <row r="151" spans="1:10" x14ac:dyDescent="0.25">
      <c r="A151" t="s">
        <v>13</v>
      </c>
      <c r="B151">
        <v>111</v>
      </c>
      <c r="C151">
        <v>7</v>
      </c>
      <c r="D151" t="s">
        <v>12</v>
      </c>
      <c r="E151">
        <v>0.1812</v>
      </c>
      <c r="F151">
        <v>0.22389999999999999</v>
      </c>
      <c r="G151">
        <v>1.8287</v>
      </c>
      <c r="H151">
        <v>360</v>
      </c>
      <c r="I151">
        <v>670</v>
      </c>
      <c r="J151">
        <v>145.72999999999999</v>
      </c>
    </row>
    <row r="152" spans="1:10" x14ac:dyDescent="0.25">
      <c r="A152" t="s">
        <v>13</v>
      </c>
      <c r="B152">
        <v>111</v>
      </c>
      <c r="C152">
        <v>8</v>
      </c>
      <c r="D152" t="s">
        <v>12</v>
      </c>
      <c r="E152">
        <v>0.1978</v>
      </c>
      <c r="F152">
        <v>0.23649999999999999</v>
      </c>
      <c r="G152">
        <v>1.8287</v>
      </c>
      <c r="H152">
        <v>360</v>
      </c>
      <c r="I152">
        <v>670</v>
      </c>
      <c r="J152">
        <v>145.72999999999999</v>
      </c>
    </row>
    <row r="153" spans="1:10" x14ac:dyDescent="0.25">
      <c r="A153" t="s">
        <v>13</v>
      </c>
      <c r="B153">
        <v>111</v>
      </c>
      <c r="C153">
        <v>9</v>
      </c>
      <c r="D153" t="s">
        <v>12</v>
      </c>
      <c r="E153">
        <v>0.18740000000000001</v>
      </c>
      <c r="F153">
        <v>0.20230000000000001</v>
      </c>
      <c r="G153">
        <v>1.8287</v>
      </c>
      <c r="H153">
        <v>360</v>
      </c>
      <c r="I153">
        <v>670</v>
      </c>
      <c r="J153">
        <v>145.72999999999999</v>
      </c>
    </row>
    <row r="154" spans="1:10" x14ac:dyDescent="0.25">
      <c r="A154" t="s">
        <v>13</v>
      </c>
      <c r="B154">
        <v>111</v>
      </c>
      <c r="C154">
        <v>10</v>
      </c>
      <c r="D154" t="s">
        <v>12</v>
      </c>
      <c r="E154">
        <v>0.1731</v>
      </c>
      <c r="F154">
        <v>0.19520000000000001</v>
      </c>
      <c r="G154">
        <v>1.8287</v>
      </c>
      <c r="H154">
        <v>360</v>
      </c>
      <c r="I154">
        <v>670</v>
      </c>
      <c r="J154">
        <v>145.72999999999999</v>
      </c>
    </row>
    <row r="155" spans="1:10" x14ac:dyDescent="0.25">
      <c r="A155" t="s">
        <v>13</v>
      </c>
      <c r="B155">
        <v>111</v>
      </c>
      <c r="C155">
        <v>11</v>
      </c>
      <c r="D155" t="s">
        <v>12</v>
      </c>
      <c r="E155">
        <v>0.1527</v>
      </c>
      <c r="F155">
        <v>0.1419</v>
      </c>
      <c r="G155">
        <v>1.8287</v>
      </c>
      <c r="H155">
        <v>360</v>
      </c>
      <c r="I155">
        <v>670</v>
      </c>
      <c r="J155">
        <v>145.72999999999999</v>
      </c>
    </row>
    <row r="156" spans="1:10" x14ac:dyDescent="0.25">
      <c r="A156" t="s">
        <v>13</v>
      </c>
      <c r="B156">
        <v>111</v>
      </c>
      <c r="C156">
        <v>12</v>
      </c>
      <c r="D156" t="s">
        <v>12</v>
      </c>
      <c r="E156">
        <v>0.18049999999999999</v>
      </c>
      <c r="F156">
        <v>0.2102</v>
      </c>
      <c r="G156">
        <v>1.8287</v>
      </c>
      <c r="H156">
        <v>360</v>
      </c>
      <c r="I156">
        <v>670</v>
      </c>
      <c r="J156">
        <v>145.72999999999999</v>
      </c>
    </row>
    <row r="157" spans="1:10" x14ac:dyDescent="0.25">
      <c r="A157" t="s">
        <v>13</v>
      </c>
      <c r="B157">
        <v>111</v>
      </c>
      <c r="C157">
        <v>13</v>
      </c>
      <c r="D157" t="s">
        <v>12</v>
      </c>
      <c r="E157">
        <v>0.1268</v>
      </c>
      <c r="F157">
        <v>5.8799999999999998E-2</v>
      </c>
      <c r="G157">
        <v>1.8287</v>
      </c>
      <c r="H157">
        <v>360</v>
      </c>
      <c r="I157">
        <v>670</v>
      </c>
      <c r="J157">
        <v>145.72999999999999</v>
      </c>
    </row>
    <row r="158" spans="1:10" x14ac:dyDescent="0.25">
      <c r="A158" t="s">
        <v>13</v>
      </c>
      <c r="B158">
        <v>111</v>
      </c>
      <c r="C158">
        <v>14</v>
      </c>
      <c r="D158" t="s">
        <v>12</v>
      </c>
      <c r="E158">
        <v>0.15429999999999999</v>
      </c>
      <c r="F158">
        <v>0.18909999999999999</v>
      </c>
      <c r="G158">
        <v>1.8287</v>
      </c>
      <c r="H158">
        <v>360</v>
      </c>
      <c r="I158">
        <v>670</v>
      </c>
      <c r="J158">
        <v>145.72999999999999</v>
      </c>
    </row>
    <row r="159" spans="1:10" x14ac:dyDescent="0.25">
      <c r="A159" t="s">
        <v>13</v>
      </c>
      <c r="B159">
        <v>111</v>
      </c>
      <c r="C159">
        <v>15</v>
      </c>
      <c r="D159" t="s">
        <v>12</v>
      </c>
      <c r="E159">
        <v>0.17449999999999999</v>
      </c>
      <c r="F159">
        <v>0.18149999999999999</v>
      </c>
      <c r="G159">
        <v>1.8287</v>
      </c>
      <c r="H159">
        <v>360</v>
      </c>
      <c r="I159">
        <v>670</v>
      </c>
      <c r="J159">
        <v>145.72999999999999</v>
      </c>
    </row>
    <row r="160" spans="1:10" x14ac:dyDescent="0.25">
      <c r="A160" t="s">
        <v>13</v>
      </c>
      <c r="B160">
        <v>111</v>
      </c>
      <c r="C160">
        <v>16</v>
      </c>
      <c r="D160" t="s">
        <v>12</v>
      </c>
      <c r="E160">
        <v>0.15609999999999999</v>
      </c>
      <c r="F160">
        <v>0.18890000000000001</v>
      </c>
      <c r="G160">
        <v>1.8287</v>
      </c>
      <c r="H160">
        <v>360</v>
      </c>
      <c r="I160">
        <v>670</v>
      </c>
      <c r="J160">
        <v>145.72999999999999</v>
      </c>
    </row>
    <row r="161" spans="1:10" x14ac:dyDescent="0.25">
      <c r="A161" t="s">
        <v>13</v>
      </c>
      <c r="B161">
        <v>111</v>
      </c>
      <c r="C161">
        <v>17</v>
      </c>
      <c r="D161" t="s">
        <v>12</v>
      </c>
      <c r="E161">
        <v>0.15029999999999999</v>
      </c>
      <c r="F161">
        <v>0.15620000000000001</v>
      </c>
      <c r="G161">
        <v>1.8287</v>
      </c>
      <c r="H161">
        <v>360</v>
      </c>
      <c r="I161">
        <v>670</v>
      </c>
      <c r="J161">
        <v>145.72999999999999</v>
      </c>
    </row>
    <row r="162" spans="1:10" x14ac:dyDescent="0.25">
      <c r="A162" t="s">
        <v>13</v>
      </c>
      <c r="B162">
        <v>111</v>
      </c>
      <c r="C162">
        <v>18</v>
      </c>
      <c r="D162" t="s">
        <v>12</v>
      </c>
      <c r="E162">
        <v>0.14099999999999999</v>
      </c>
      <c r="F162">
        <v>0.13800000000000001</v>
      </c>
      <c r="G162">
        <v>1.8287</v>
      </c>
      <c r="H162">
        <v>360</v>
      </c>
      <c r="I162">
        <v>670</v>
      </c>
      <c r="J162">
        <v>145.72999999999999</v>
      </c>
    </row>
    <row r="163" spans="1:10" x14ac:dyDescent="0.25">
      <c r="A163" t="s">
        <v>13</v>
      </c>
      <c r="B163">
        <v>111</v>
      </c>
      <c r="C163">
        <v>19</v>
      </c>
      <c r="D163" t="s">
        <v>12</v>
      </c>
      <c r="E163">
        <v>0.1353</v>
      </c>
      <c r="F163">
        <v>0.1409</v>
      </c>
      <c r="G163">
        <v>1.8287</v>
      </c>
      <c r="H163">
        <v>360</v>
      </c>
      <c r="I163">
        <v>670</v>
      </c>
      <c r="J163">
        <v>145.72999999999999</v>
      </c>
    </row>
    <row r="164" spans="1:10" x14ac:dyDescent="0.25">
      <c r="A164" t="s">
        <v>13</v>
      </c>
      <c r="B164">
        <v>111</v>
      </c>
      <c r="C164">
        <v>20</v>
      </c>
      <c r="D164" t="s">
        <v>12</v>
      </c>
      <c r="E164">
        <v>0.1241</v>
      </c>
      <c r="F164">
        <v>0.127</v>
      </c>
      <c r="G164">
        <v>1.8287</v>
      </c>
      <c r="H164">
        <v>360</v>
      </c>
      <c r="I164">
        <v>670</v>
      </c>
      <c r="J164">
        <v>145.72999999999999</v>
      </c>
    </row>
    <row r="165" spans="1:10" x14ac:dyDescent="0.25">
      <c r="A165" t="s">
        <v>13</v>
      </c>
      <c r="B165">
        <v>120</v>
      </c>
      <c r="C165">
        <v>3</v>
      </c>
      <c r="D165" t="s">
        <v>11</v>
      </c>
      <c r="E165">
        <v>0.17230000000000001</v>
      </c>
      <c r="F165">
        <v>0.24299999999999999</v>
      </c>
      <c r="G165">
        <v>1.8137000000000001</v>
      </c>
      <c r="H165">
        <f t="shared" ref="H165:H197" si="0">310+27</f>
        <v>337</v>
      </c>
      <c r="I165">
        <v>655</v>
      </c>
      <c r="J165">
        <v>88.02</v>
      </c>
    </row>
    <row r="166" spans="1:10" x14ac:dyDescent="0.25">
      <c r="A166" t="s">
        <v>13</v>
      </c>
      <c r="B166">
        <v>120</v>
      </c>
      <c r="C166">
        <v>7</v>
      </c>
      <c r="D166" t="s">
        <v>11</v>
      </c>
      <c r="E166">
        <v>0.1699</v>
      </c>
      <c r="F166">
        <v>0.27360000000000001</v>
      </c>
      <c r="G166">
        <v>1.8137000000000001</v>
      </c>
      <c r="H166">
        <f t="shared" si="0"/>
        <v>337</v>
      </c>
      <c r="I166">
        <v>655</v>
      </c>
      <c r="J166">
        <v>88.02</v>
      </c>
    </row>
    <row r="167" spans="1:10" x14ac:dyDescent="0.25">
      <c r="A167" t="s">
        <v>13</v>
      </c>
      <c r="B167">
        <v>120</v>
      </c>
      <c r="C167">
        <v>8</v>
      </c>
      <c r="D167" t="s">
        <v>11</v>
      </c>
      <c r="E167">
        <v>0.1845</v>
      </c>
      <c r="F167">
        <v>0.32540000000000002</v>
      </c>
      <c r="G167">
        <v>1.8137000000000001</v>
      </c>
      <c r="H167">
        <f t="shared" si="0"/>
        <v>337</v>
      </c>
      <c r="I167">
        <v>655</v>
      </c>
      <c r="J167">
        <v>88.02</v>
      </c>
    </row>
    <row r="168" spans="1:10" x14ac:dyDescent="0.25">
      <c r="A168" t="s">
        <v>13</v>
      </c>
      <c r="B168">
        <v>120</v>
      </c>
      <c r="C168">
        <v>9</v>
      </c>
      <c r="D168" t="s">
        <v>11</v>
      </c>
      <c r="E168">
        <v>0.18079999999999999</v>
      </c>
      <c r="F168">
        <v>0.29820000000000002</v>
      </c>
      <c r="G168">
        <v>1.8137000000000001</v>
      </c>
      <c r="H168">
        <f t="shared" si="0"/>
        <v>337</v>
      </c>
      <c r="I168">
        <v>655</v>
      </c>
      <c r="J168">
        <v>88.02</v>
      </c>
    </row>
    <row r="169" spans="1:10" x14ac:dyDescent="0.25">
      <c r="A169" t="s">
        <v>13</v>
      </c>
      <c r="B169">
        <v>120</v>
      </c>
      <c r="C169">
        <v>10</v>
      </c>
      <c r="D169" t="s">
        <v>11</v>
      </c>
      <c r="E169">
        <v>0.14749999999999999</v>
      </c>
      <c r="F169">
        <v>0.1956</v>
      </c>
      <c r="G169">
        <v>1.8137000000000001</v>
      </c>
      <c r="H169">
        <f t="shared" si="0"/>
        <v>337</v>
      </c>
      <c r="I169">
        <v>655</v>
      </c>
      <c r="J169">
        <v>88.02</v>
      </c>
    </row>
    <row r="170" spans="1:10" x14ac:dyDescent="0.25">
      <c r="A170" t="s">
        <v>13</v>
      </c>
      <c r="B170">
        <v>120</v>
      </c>
      <c r="C170">
        <v>11</v>
      </c>
      <c r="D170" t="s">
        <v>11</v>
      </c>
      <c r="E170">
        <v>0.16500000000000001</v>
      </c>
      <c r="F170">
        <v>0.27979999999999999</v>
      </c>
      <c r="G170">
        <v>1.8137000000000001</v>
      </c>
      <c r="H170">
        <f t="shared" si="0"/>
        <v>337</v>
      </c>
      <c r="I170">
        <v>655</v>
      </c>
      <c r="J170">
        <v>88.02</v>
      </c>
    </row>
    <row r="171" spans="1:10" x14ac:dyDescent="0.25">
      <c r="A171" t="s">
        <v>13</v>
      </c>
      <c r="B171">
        <v>120</v>
      </c>
      <c r="C171">
        <v>13</v>
      </c>
      <c r="D171" t="s">
        <v>11</v>
      </c>
      <c r="E171">
        <v>0.18060000000000001</v>
      </c>
      <c r="F171">
        <v>0.3004</v>
      </c>
      <c r="G171">
        <v>1.8137000000000001</v>
      </c>
      <c r="H171">
        <f t="shared" si="0"/>
        <v>337</v>
      </c>
      <c r="I171">
        <v>655</v>
      </c>
      <c r="J171">
        <v>88.02</v>
      </c>
    </row>
    <row r="172" spans="1:10" x14ac:dyDescent="0.25">
      <c r="A172" t="s">
        <v>13</v>
      </c>
      <c r="B172">
        <v>120</v>
      </c>
      <c r="C172">
        <v>14</v>
      </c>
      <c r="D172" t="s">
        <v>11</v>
      </c>
      <c r="E172">
        <v>0.16120000000000001</v>
      </c>
      <c r="F172">
        <v>0.2853</v>
      </c>
      <c r="G172">
        <v>1.8137000000000001</v>
      </c>
      <c r="H172">
        <f t="shared" si="0"/>
        <v>337</v>
      </c>
      <c r="I172">
        <v>655</v>
      </c>
      <c r="J172">
        <v>88.02</v>
      </c>
    </row>
    <row r="173" spans="1:10" x14ac:dyDescent="0.25">
      <c r="A173" t="s">
        <v>13</v>
      </c>
      <c r="B173">
        <v>120</v>
      </c>
      <c r="C173">
        <v>15</v>
      </c>
      <c r="D173" t="s">
        <v>11</v>
      </c>
      <c r="E173">
        <v>0.1681</v>
      </c>
      <c r="F173">
        <v>0.309</v>
      </c>
      <c r="G173">
        <v>1.8137000000000001</v>
      </c>
      <c r="H173">
        <f t="shared" si="0"/>
        <v>337</v>
      </c>
      <c r="I173">
        <v>655</v>
      </c>
      <c r="J173">
        <v>88.02</v>
      </c>
    </row>
    <row r="174" spans="1:10" x14ac:dyDescent="0.25">
      <c r="A174" t="s">
        <v>13</v>
      </c>
      <c r="B174">
        <v>120</v>
      </c>
      <c r="C174">
        <v>17</v>
      </c>
      <c r="D174" t="s">
        <v>11</v>
      </c>
      <c r="E174">
        <v>0.14349999999999999</v>
      </c>
      <c r="F174">
        <v>0.1469</v>
      </c>
      <c r="G174">
        <v>1.8137000000000001</v>
      </c>
      <c r="H174">
        <f t="shared" si="0"/>
        <v>337</v>
      </c>
      <c r="I174">
        <v>655</v>
      </c>
      <c r="J174">
        <v>88.02</v>
      </c>
    </row>
    <row r="175" spans="1:10" x14ac:dyDescent="0.25">
      <c r="A175" t="s">
        <v>13</v>
      </c>
      <c r="B175">
        <v>120</v>
      </c>
      <c r="C175">
        <v>20</v>
      </c>
      <c r="D175" t="s">
        <v>11</v>
      </c>
      <c r="E175">
        <v>7.4999999999999997E-2</v>
      </c>
      <c r="F175">
        <v>0</v>
      </c>
      <c r="G175">
        <v>1.8137000000000001</v>
      </c>
      <c r="H175">
        <f t="shared" si="0"/>
        <v>337</v>
      </c>
      <c r="I175">
        <v>655</v>
      </c>
      <c r="J175">
        <v>88.02</v>
      </c>
    </row>
    <row r="176" spans="1:10" x14ac:dyDescent="0.25">
      <c r="A176" t="s">
        <v>13</v>
      </c>
      <c r="B176">
        <v>120</v>
      </c>
      <c r="C176">
        <v>24</v>
      </c>
      <c r="D176" t="s">
        <v>11</v>
      </c>
      <c r="E176">
        <v>5.1999999999999998E-2</v>
      </c>
      <c r="F176">
        <v>0</v>
      </c>
      <c r="G176">
        <v>1.8137000000000001</v>
      </c>
      <c r="H176">
        <f t="shared" si="0"/>
        <v>337</v>
      </c>
      <c r="I176">
        <v>655</v>
      </c>
      <c r="J176">
        <v>88.02</v>
      </c>
    </row>
    <row r="177" spans="1:10" x14ac:dyDescent="0.25">
      <c r="A177" t="s">
        <v>13</v>
      </c>
      <c r="B177">
        <v>120</v>
      </c>
      <c r="C177">
        <v>25</v>
      </c>
      <c r="D177" t="s">
        <v>11</v>
      </c>
      <c r="E177">
        <v>6.7500000000000004E-2</v>
      </c>
      <c r="F177">
        <v>0</v>
      </c>
      <c r="G177">
        <v>1.8137000000000001</v>
      </c>
      <c r="H177">
        <f t="shared" si="0"/>
        <v>337</v>
      </c>
      <c r="I177">
        <v>655</v>
      </c>
      <c r="J177">
        <v>88.02</v>
      </c>
    </row>
    <row r="178" spans="1:10" x14ac:dyDescent="0.25">
      <c r="A178" t="s">
        <v>13</v>
      </c>
      <c r="B178">
        <v>120</v>
      </c>
      <c r="C178">
        <v>1</v>
      </c>
      <c r="D178" t="s">
        <v>12</v>
      </c>
      <c r="E178">
        <v>0.17019999999999999</v>
      </c>
      <c r="F178">
        <v>0.1139</v>
      </c>
      <c r="G178">
        <v>1.8137000000000001</v>
      </c>
      <c r="H178">
        <f t="shared" si="0"/>
        <v>337</v>
      </c>
      <c r="I178">
        <v>655</v>
      </c>
      <c r="J178">
        <v>88.02</v>
      </c>
    </row>
    <row r="179" spans="1:10" x14ac:dyDescent="0.25">
      <c r="A179" t="s">
        <v>13</v>
      </c>
      <c r="B179">
        <v>120</v>
      </c>
      <c r="C179">
        <v>2</v>
      </c>
      <c r="D179" t="s">
        <v>12</v>
      </c>
      <c r="E179">
        <v>0.1391</v>
      </c>
      <c r="F179">
        <v>6.6799999999999998E-2</v>
      </c>
      <c r="G179">
        <v>1.8137000000000001</v>
      </c>
      <c r="H179">
        <f t="shared" si="0"/>
        <v>337</v>
      </c>
      <c r="I179">
        <v>655</v>
      </c>
      <c r="J179">
        <v>88.02</v>
      </c>
    </row>
    <row r="180" spans="1:10" x14ac:dyDescent="0.25">
      <c r="A180" t="s">
        <v>13</v>
      </c>
      <c r="B180">
        <v>120</v>
      </c>
      <c r="C180">
        <v>4</v>
      </c>
      <c r="D180" t="s">
        <v>12</v>
      </c>
      <c r="E180">
        <v>6.7599999999999993E-2</v>
      </c>
      <c r="F180">
        <v>0</v>
      </c>
      <c r="G180">
        <v>1.8137000000000001</v>
      </c>
      <c r="H180">
        <f t="shared" si="0"/>
        <v>337</v>
      </c>
      <c r="I180">
        <v>655</v>
      </c>
      <c r="J180">
        <v>88.02</v>
      </c>
    </row>
    <row r="181" spans="1:10" x14ac:dyDescent="0.25">
      <c r="A181" t="s">
        <v>13</v>
      </c>
      <c r="B181">
        <v>120</v>
      </c>
      <c r="C181">
        <v>5</v>
      </c>
      <c r="D181" t="s">
        <v>12</v>
      </c>
      <c r="E181">
        <v>6.4199999999999993E-2</v>
      </c>
      <c r="F181">
        <v>0</v>
      </c>
      <c r="G181">
        <v>1.8137000000000001</v>
      </c>
      <c r="H181">
        <f t="shared" si="0"/>
        <v>337</v>
      </c>
      <c r="I181">
        <v>655</v>
      </c>
      <c r="J181">
        <v>88.02</v>
      </c>
    </row>
    <row r="182" spans="1:10" x14ac:dyDescent="0.25">
      <c r="A182" t="s">
        <v>13</v>
      </c>
      <c r="B182">
        <v>120</v>
      </c>
      <c r="C182">
        <v>6</v>
      </c>
      <c r="D182" t="s">
        <v>12</v>
      </c>
      <c r="E182">
        <v>6.1899999999999997E-2</v>
      </c>
      <c r="F182">
        <v>0</v>
      </c>
      <c r="G182">
        <v>1.8137000000000001</v>
      </c>
      <c r="H182">
        <f t="shared" si="0"/>
        <v>337</v>
      </c>
      <c r="I182">
        <v>655</v>
      </c>
      <c r="J182">
        <v>88.02</v>
      </c>
    </row>
    <row r="183" spans="1:10" x14ac:dyDescent="0.25">
      <c r="A183" t="s">
        <v>13</v>
      </c>
      <c r="B183">
        <v>120</v>
      </c>
      <c r="C183">
        <v>12</v>
      </c>
      <c r="D183" t="s">
        <v>12</v>
      </c>
      <c r="E183">
        <v>7.17E-2</v>
      </c>
      <c r="F183">
        <v>0</v>
      </c>
      <c r="G183">
        <v>1.8137000000000001</v>
      </c>
      <c r="H183">
        <f t="shared" si="0"/>
        <v>337</v>
      </c>
      <c r="I183">
        <v>655</v>
      </c>
      <c r="J183">
        <v>88.02</v>
      </c>
    </row>
    <row r="184" spans="1:10" x14ac:dyDescent="0.25">
      <c r="A184" t="s">
        <v>13</v>
      </c>
      <c r="B184">
        <v>120</v>
      </c>
      <c r="C184">
        <v>16</v>
      </c>
      <c r="D184" t="s">
        <v>12</v>
      </c>
      <c r="E184">
        <v>0.17</v>
      </c>
      <c r="F184">
        <v>0.28560000000000002</v>
      </c>
      <c r="G184">
        <v>1.8137000000000001</v>
      </c>
      <c r="H184">
        <f t="shared" si="0"/>
        <v>337</v>
      </c>
      <c r="I184">
        <v>655</v>
      </c>
      <c r="J184">
        <v>88.02</v>
      </c>
    </row>
    <row r="185" spans="1:10" x14ac:dyDescent="0.25">
      <c r="A185" t="s">
        <v>13</v>
      </c>
      <c r="B185">
        <v>120</v>
      </c>
      <c r="C185">
        <v>18</v>
      </c>
      <c r="D185" t="s">
        <v>12</v>
      </c>
      <c r="E185">
        <v>0.1479</v>
      </c>
      <c r="F185">
        <v>0.20899999999999999</v>
      </c>
      <c r="G185">
        <v>1.8137000000000001</v>
      </c>
      <c r="H185">
        <f t="shared" si="0"/>
        <v>337</v>
      </c>
      <c r="I185">
        <v>655</v>
      </c>
      <c r="J185">
        <v>88.02</v>
      </c>
    </row>
    <row r="186" spans="1:10" x14ac:dyDescent="0.25">
      <c r="A186" t="s">
        <v>13</v>
      </c>
      <c r="B186">
        <v>120</v>
      </c>
      <c r="C186">
        <v>19</v>
      </c>
      <c r="D186" t="s">
        <v>12</v>
      </c>
      <c r="E186">
        <v>0.1273</v>
      </c>
      <c r="F186">
        <v>0.1666</v>
      </c>
      <c r="G186">
        <v>1.8137000000000001</v>
      </c>
      <c r="H186">
        <f t="shared" si="0"/>
        <v>337</v>
      </c>
      <c r="I186">
        <v>655</v>
      </c>
      <c r="J186">
        <v>88.02</v>
      </c>
    </row>
    <row r="187" spans="1:10" x14ac:dyDescent="0.25">
      <c r="A187" t="s">
        <v>13</v>
      </c>
      <c r="B187">
        <v>120</v>
      </c>
      <c r="C187">
        <v>21</v>
      </c>
      <c r="D187" t="s">
        <v>12</v>
      </c>
      <c r="E187">
        <v>2.98E-2</v>
      </c>
      <c r="F187">
        <v>0</v>
      </c>
      <c r="G187">
        <v>1.8137000000000001</v>
      </c>
      <c r="H187">
        <f t="shared" si="0"/>
        <v>337</v>
      </c>
      <c r="I187">
        <v>655</v>
      </c>
      <c r="J187">
        <v>88.02</v>
      </c>
    </row>
    <row r="188" spans="1:10" x14ac:dyDescent="0.25">
      <c r="A188" t="s">
        <v>13</v>
      </c>
      <c r="B188">
        <v>120</v>
      </c>
      <c r="C188">
        <v>22</v>
      </c>
      <c r="D188" t="s">
        <v>12</v>
      </c>
      <c r="E188">
        <v>6.7100000000000007E-2</v>
      </c>
      <c r="F188">
        <v>0</v>
      </c>
      <c r="G188">
        <v>1.8137000000000001</v>
      </c>
      <c r="H188">
        <f t="shared" si="0"/>
        <v>337</v>
      </c>
      <c r="I188">
        <v>655</v>
      </c>
      <c r="J188">
        <v>88.02</v>
      </c>
    </row>
    <row r="189" spans="1:10" x14ac:dyDescent="0.25">
      <c r="A189" t="s">
        <v>13</v>
      </c>
      <c r="B189">
        <v>120</v>
      </c>
      <c r="C189">
        <v>23</v>
      </c>
      <c r="D189" t="s">
        <v>12</v>
      </c>
      <c r="E189">
        <v>0.10589999999999999</v>
      </c>
      <c r="F189">
        <v>0.13500000000000001</v>
      </c>
      <c r="G189">
        <v>1.8137000000000001</v>
      </c>
      <c r="H189">
        <f t="shared" si="0"/>
        <v>337</v>
      </c>
      <c r="I189">
        <v>655</v>
      </c>
      <c r="J189">
        <v>88.02</v>
      </c>
    </row>
    <row r="190" spans="1:10" x14ac:dyDescent="0.25">
      <c r="A190" t="s">
        <v>13</v>
      </c>
      <c r="B190">
        <v>120</v>
      </c>
      <c r="C190">
        <v>26</v>
      </c>
      <c r="D190" t="s">
        <v>12</v>
      </c>
      <c r="E190">
        <v>7.6799999999999993E-2</v>
      </c>
      <c r="F190">
        <v>7.4800000000000005E-2</v>
      </c>
      <c r="G190">
        <v>1.8137000000000001</v>
      </c>
      <c r="H190">
        <f t="shared" si="0"/>
        <v>337</v>
      </c>
      <c r="I190">
        <v>655</v>
      </c>
      <c r="J190">
        <v>88.02</v>
      </c>
    </row>
    <row r="191" spans="1:10" x14ac:dyDescent="0.25">
      <c r="A191" t="s">
        <v>13</v>
      </c>
      <c r="B191">
        <v>120</v>
      </c>
      <c r="C191">
        <v>27</v>
      </c>
      <c r="D191" t="s">
        <v>12</v>
      </c>
      <c r="E191">
        <v>4.0599999999999997E-2</v>
      </c>
      <c r="F191">
        <v>0</v>
      </c>
      <c r="G191">
        <v>1.8137000000000001</v>
      </c>
      <c r="H191">
        <f t="shared" si="0"/>
        <v>337</v>
      </c>
      <c r="I191">
        <v>655</v>
      </c>
      <c r="J191">
        <v>88.02</v>
      </c>
    </row>
    <row r="192" spans="1:10" x14ac:dyDescent="0.25">
      <c r="A192" t="s">
        <v>13</v>
      </c>
      <c r="B192">
        <v>120</v>
      </c>
      <c r="C192">
        <v>28</v>
      </c>
      <c r="D192" t="s">
        <v>12</v>
      </c>
      <c r="E192">
        <v>9.5500000000000002E-2</v>
      </c>
      <c r="F192">
        <v>0.12909999999999999</v>
      </c>
      <c r="G192">
        <v>1.8137000000000001</v>
      </c>
      <c r="H192">
        <f t="shared" si="0"/>
        <v>337</v>
      </c>
      <c r="I192">
        <v>655</v>
      </c>
      <c r="J192">
        <v>88.02</v>
      </c>
    </row>
    <row r="193" spans="1:10" x14ac:dyDescent="0.25">
      <c r="A193" t="s">
        <v>13</v>
      </c>
      <c r="B193">
        <v>120</v>
      </c>
      <c r="C193">
        <v>29</v>
      </c>
      <c r="D193" t="s">
        <v>12</v>
      </c>
      <c r="E193">
        <v>8.5900000000000004E-2</v>
      </c>
      <c r="F193">
        <v>8.5400000000000004E-2</v>
      </c>
      <c r="G193">
        <v>1.8137000000000001</v>
      </c>
      <c r="H193">
        <f t="shared" si="0"/>
        <v>337</v>
      </c>
      <c r="I193">
        <v>655</v>
      </c>
      <c r="J193">
        <v>88.02</v>
      </c>
    </row>
    <row r="194" spans="1:10" x14ac:dyDescent="0.25">
      <c r="A194" t="s">
        <v>13</v>
      </c>
      <c r="B194">
        <v>120</v>
      </c>
      <c r="C194">
        <v>30</v>
      </c>
      <c r="D194" t="s">
        <v>12</v>
      </c>
      <c r="E194">
        <v>8.5500000000000007E-2</v>
      </c>
      <c r="F194">
        <v>5.8700000000000002E-2</v>
      </c>
      <c r="G194">
        <v>1.8137000000000001</v>
      </c>
      <c r="H194">
        <f t="shared" si="0"/>
        <v>337</v>
      </c>
      <c r="I194">
        <v>655</v>
      </c>
      <c r="J194">
        <v>88.02</v>
      </c>
    </row>
    <row r="195" spans="1:10" x14ac:dyDescent="0.25">
      <c r="A195" t="s">
        <v>13</v>
      </c>
      <c r="B195">
        <v>120</v>
      </c>
      <c r="C195">
        <v>31</v>
      </c>
      <c r="D195" t="s">
        <v>12</v>
      </c>
      <c r="E195">
        <v>6.5699999999999995E-2</v>
      </c>
      <c r="F195">
        <v>5.3900000000000003E-2</v>
      </c>
      <c r="G195">
        <v>1.8137000000000001</v>
      </c>
      <c r="H195">
        <f t="shared" si="0"/>
        <v>337</v>
      </c>
      <c r="I195">
        <v>655</v>
      </c>
      <c r="J195">
        <v>88.02</v>
      </c>
    </row>
    <row r="196" spans="1:10" x14ac:dyDescent="0.25">
      <c r="A196" t="s">
        <v>13</v>
      </c>
      <c r="B196">
        <v>120</v>
      </c>
      <c r="C196">
        <v>32</v>
      </c>
      <c r="D196" t="s">
        <v>12</v>
      </c>
      <c r="E196">
        <v>1.5800000000000002E-2</v>
      </c>
      <c r="F196">
        <v>0</v>
      </c>
      <c r="G196">
        <v>1.8137000000000001</v>
      </c>
      <c r="H196">
        <f t="shared" si="0"/>
        <v>337</v>
      </c>
      <c r="I196">
        <v>655</v>
      </c>
      <c r="J196">
        <v>88.02</v>
      </c>
    </row>
    <row r="197" spans="1:10" x14ac:dyDescent="0.25">
      <c r="A197" t="s">
        <v>13</v>
      </c>
      <c r="B197">
        <v>120</v>
      </c>
      <c r="C197">
        <v>33</v>
      </c>
      <c r="D197" t="s">
        <v>12</v>
      </c>
      <c r="E197">
        <v>0.1406</v>
      </c>
      <c r="F197">
        <v>2.1700000000000001E-2</v>
      </c>
      <c r="G197">
        <v>1.8137000000000001</v>
      </c>
      <c r="H197">
        <f t="shared" si="0"/>
        <v>337</v>
      </c>
      <c r="I197">
        <v>655</v>
      </c>
      <c r="J197">
        <v>88.02</v>
      </c>
    </row>
    <row r="198" spans="1:10" x14ac:dyDescent="0.25">
      <c r="A198" t="s">
        <v>13</v>
      </c>
      <c r="B198">
        <v>126</v>
      </c>
      <c r="C198">
        <v>1</v>
      </c>
      <c r="D198" t="s">
        <v>12</v>
      </c>
      <c r="E198">
        <v>4.3400000000000001E-2</v>
      </c>
      <c r="F198">
        <v>0</v>
      </c>
      <c r="G198">
        <v>1.2636000000000001</v>
      </c>
      <c r="H198">
        <v>290</v>
      </c>
      <c r="I198">
        <v>625</v>
      </c>
      <c r="J198">
        <v>138.57</v>
      </c>
    </row>
    <row r="199" spans="1:10" x14ac:dyDescent="0.25">
      <c r="A199" t="s">
        <v>13</v>
      </c>
      <c r="B199">
        <v>126</v>
      </c>
      <c r="C199">
        <v>2</v>
      </c>
      <c r="D199" t="s">
        <v>12</v>
      </c>
      <c r="E199">
        <v>4.1700000000000001E-2</v>
      </c>
      <c r="F199">
        <v>0</v>
      </c>
      <c r="G199">
        <v>1.2636000000000001</v>
      </c>
      <c r="H199">
        <v>290</v>
      </c>
      <c r="I199">
        <v>625</v>
      </c>
      <c r="J199">
        <v>138.57</v>
      </c>
    </row>
    <row r="200" spans="1:10" x14ac:dyDescent="0.25">
      <c r="A200" t="s">
        <v>13</v>
      </c>
      <c r="B200">
        <v>126</v>
      </c>
      <c r="C200">
        <v>3</v>
      </c>
      <c r="D200" t="s">
        <v>12</v>
      </c>
      <c r="E200">
        <v>4.99E-2</v>
      </c>
      <c r="F200">
        <v>0</v>
      </c>
      <c r="G200">
        <v>1.2636000000000001</v>
      </c>
      <c r="H200">
        <v>290</v>
      </c>
      <c r="I200">
        <v>625</v>
      </c>
      <c r="J200">
        <v>138.57</v>
      </c>
    </row>
    <row r="201" spans="1:10" x14ac:dyDescent="0.25">
      <c r="A201" t="s">
        <v>13</v>
      </c>
      <c r="B201">
        <v>126</v>
      </c>
      <c r="C201">
        <v>4</v>
      </c>
      <c r="D201" t="s">
        <v>12</v>
      </c>
      <c r="E201">
        <v>4.9599999999999998E-2</v>
      </c>
      <c r="F201">
        <v>0</v>
      </c>
      <c r="G201">
        <v>1.2636000000000001</v>
      </c>
      <c r="H201">
        <v>290</v>
      </c>
      <c r="I201">
        <v>625</v>
      </c>
      <c r="J201">
        <v>138.57</v>
      </c>
    </row>
    <row r="202" spans="1:10" x14ac:dyDescent="0.25">
      <c r="A202" t="s">
        <v>13</v>
      </c>
      <c r="B202">
        <v>126</v>
      </c>
      <c r="C202">
        <v>5</v>
      </c>
      <c r="D202" t="s">
        <v>12</v>
      </c>
      <c r="E202">
        <v>9.2899999999999996E-2</v>
      </c>
      <c r="F202">
        <v>0</v>
      </c>
      <c r="G202">
        <v>1.2636000000000001</v>
      </c>
      <c r="H202">
        <v>290</v>
      </c>
      <c r="I202">
        <v>625</v>
      </c>
      <c r="J202">
        <v>138.57</v>
      </c>
    </row>
    <row r="203" spans="1:10" x14ac:dyDescent="0.25">
      <c r="A203" t="s">
        <v>13</v>
      </c>
      <c r="B203">
        <v>126</v>
      </c>
      <c r="C203">
        <v>6</v>
      </c>
      <c r="D203" t="s">
        <v>12</v>
      </c>
      <c r="E203">
        <v>8.4500000000000006E-2</v>
      </c>
      <c r="F203">
        <v>0</v>
      </c>
      <c r="G203">
        <v>1.2636000000000001</v>
      </c>
      <c r="H203">
        <v>290</v>
      </c>
      <c r="I203">
        <v>625</v>
      </c>
      <c r="J203">
        <v>138.57</v>
      </c>
    </row>
    <row r="204" spans="1:10" x14ac:dyDescent="0.25">
      <c r="A204" t="s">
        <v>13</v>
      </c>
      <c r="B204">
        <v>126</v>
      </c>
      <c r="C204">
        <v>7</v>
      </c>
      <c r="D204" t="s">
        <v>12</v>
      </c>
      <c r="E204">
        <v>9.9199999999999997E-2</v>
      </c>
      <c r="F204">
        <v>4.3E-3</v>
      </c>
      <c r="G204">
        <v>1.2636000000000001</v>
      </c>
      <c r="H204">
        <v>290</v>
      </c>
      <c r="I204">
        <v>625</v>
      </c>
      <c r="J204">
        <v>138.57</v>
      </c>
    </row>
    <row r="205" spans="1:10" x14ac:dyDescent="0.25">
      <c r="A205" t="s">
        <v>13</v>
      </c>
      <c r="B205">
        <v>126</v>
      </c>
      <c r="C205">
        <v>8</v>
      </c>
      <c r="D205" t="s">
        <v>12</v>
      </c>
      <c r="E205">
        <v>0.18190000000000001</v>
      </c>
      <c r="F205">
        <v>0.34660000000000002</v>
      </c>
      <c r="G205">
        <v>1.2636000000000001</v>
      </c>
      <c r="H205">
        <v>290</v>
      </c>
      <c r="I205">
        <v>625</v>
      </c>
      <c r="J205">
        <v>138.57</v>
      </c>
    </row>
    <row r="206" spans="1:10" x14ac:dyDescent="0.25">
      <c r="A206" t="s">
        <v>13</v>
      </c>
      <c r="B206">
        <v>126</v>
      </c>
      <c r="C206">
        <v>9</v>
      </c>
      <c r="D206" t="s">
        <v>12</v>
      </c>
      <c r="E206">
        <v>0.1066</v>
      </c>
      <c r="F206">
        <v>0</v>
      </c>
      <c r="G206">
        <v>1.2636000000000001</v>
      </c>
      <c r="H206">
        <v>290</v>
      </c>
      <c r="I206">
        <v>625</v>
      </c>
      <c r="J206">
        <v>138.57</v>
      </c>
    </row>
    <row r="207" spans="1:10" x14ac:dyDescent="0.25">
      <c r="A207" t="s">
        <v>13</v>
      </c>
      <c r="B207">
        <v>126</v>
      </c>
      <c r="C207">
        <v>10</v>
      </c>
      <c r="D207" t="s">
        <v>12</v>
      </c>
      <c r="E207">
        <v>0.1648</v>
      </c>
      <c r="F207">
        <v>0.2462</v>
      </c>
      <c r="G207">
        <v>1.2636000000000001</v>
      </c>
      <c r="H207">
        <v>290</v>
      </c>
      <c r="I207">
        <v>625</v>
      </c>
      <c r="J207">
        <v>138.57</v>
      </c>
    </row>
    <row r="208" spans="1:10" x14ac:dyDescent="0.25">
      <c r="A208" t="s">
        <v>13</v>
      </c>
      <c r="B208">
        <v>126</v>
      </c>
      <c r="C208">
        <v>11</v>
      </c>
      <c r="D208" t="s">
        <v>12</v>
      </c>
      <c r="E208">
        <v>0.15570000000000001</v>
      </c>
      <c r="F208">
        <v>0.1774</v>
      </c>
      <c r="G208">
        <v>1.2636000000000001</v>
      </c>
      <c r="H208">
        <v>290</v>
      </c>
      <c r="I208">
        <v>625</v>
      </c>
      <c r="J208">
        <v>138.57</v>
      </c>
    </row>
    <row r="209" spans="1:10" x14ac:dyDescent="0.25">
      <c r="A209" t="s">
        <v>13</v>
      </c>
      <c r="B209">
        <v>126</v>
      </c>
      <c r="C209">
        <v>12</v>
      </c>
      <c r="D209" t="s">
        <v>12</v>
      </c>
      <c r="E209">
        <v>0.17680000000000001</v>
      </c>
      <c r="F209">
        <v>0.27939999999999998</v>
      </c>
      <c r="G209">
        <v>1.2636000000000001</v>
      </c>
      <c r="H209">
        <v>290</v>
      </c>
      <c r="I209">
        <v>625</v>
      </c>
      <c r="J209">
        <v>138.57</v>
      </c>
    </row>
    <row r="210" spans="1:10" x14ac:dyDescent="0.25">
      <c r="A210" t="s">
        <v>13</v>
      </c>
      <c r="B210">
        <v>126</v>
      </c>
      <c r="C210">
        <v>13</v>
      </c>
      <c r="D210" t="s">
        <v>12</v>
      </c>
      <c r="E210">
        <v>0.1396</v>
      </c>
      <c r="F210">
        <v>0.16900000000000001</v>
      </c>
      <c r="G210">
        <v>1.2636000000000001</v>
      </c>
      <c r="H210">
        <v>290</v>
      </c>
      <c r="I210">
        <v>625</v>
      </c>
      <c r="J210">
        <v>138.57</v>
      </c>
    </row>
    <row r="211" spans="1:10" x14ac:dyDescent="0.25">
      <c r="A211" t="s">
        <v>13</v>
      </c>
      <c r="B211">
        <v>126</v>
      </c>
      <c r="C211">
        <v>14</v>
      </c>
      <c r="D211" t="s">
        <v>12</v>
      </c>
      <c r="E211">
        <v>0.1421</v>
      </c>
      <c r="F211">
        <v>0.27439999999999998</v>
      </c>
      <c r="G211">
        <v>1.2636000000000001</v>
      </c>
      <c r="H211">
        <v>290</v>
      </c>
      <c r="I211">
        <v>625</v>
      </c>
      <c r="J211">
        <v>138.57</v>
      </c>
    </row>
    <row r="212" spans="1:10" x14ac:dyDescent="0.25">
      <c r="A212" t="s">
        <v>13</v>
      </c>
      <c r="B212">
        <v>126</v>
      </c>
      <c r="C212">
        <v>15</v>
      </c>
      <c r="D212" t="s">
        <v>12</v>
      </c>
      <c r="E212">
        <v>0.1817</v>
      </c>
      <c r="F212">
        <v>0.28599999999999998</v>
      </c>
      <c r="G212">
        <v>1.2636000000000001</v>
      </c>
      <c r="H212">
        <v>290</v>
      </c>
      <c r="I212">
        <v>625</v>
      </c>
      <c r="J212">
        <v>138.57</v>
      </c>
    </row>
    <row r="213" spans="1:10" x14ac:dyDescent="0.25">
      <c r="A213" t="s">
        <v>13</v>
      </c>
      <c r="B213">
        <v>126</v>
      </c>
      <c r="C213">
        <v>16</v>
      </c>
      <c r="D213" t="s">
        <v>12</v>
      </c>
      <c r="E213">
        <v>0.16550000000000001</v>
      </c>
      <c r="F213">
        <v>0.38469999999999999</v>
      </c>
      <c r="G213">
        <v>1.2636000000000001</v>
      </c>
      <c r="H213">
        <v>290</v>
      </c>
      <c r="I213">
        <v>625</v>
      </c>
      <c r="J213">
        <v>138.57</v>
      </c>
    </row>
    <row r="214" spans="1:10" x14ac:dyDescent="0.25">
      <c r="A214" t="s">
        <v>13</v>
      </c>
      <c r="B214">
        <v>126</v>
      </c>
      <c r="C214">
        <v>17</v>
      </c>
      <c r="D214" t="s">
        <v>12</v>
      </c>
      <c r="E214">
        <v>0.14990000000000001</v>
      </c>
      <c r="F214">
        <v>0.34189999999999998</v>
      </c>
      <c r="G214">
        <v>1.2636000000000001</v>
      </c>
      <c r="H214">
        <v>290</v>
      </c>
      <c r="I214">
        <v>625</v>
      </c>
      <c r="J214">
        <v>138.57</v>
      </c>
    </row>
    <row r="215" spans="1:10" x14ac:dyDescent="0.25">
      <c r="A215" t="s">
        <v>13</v>
      </c>
      <c r="B215">
        <v>126</v>
      </c>
      <c r="C215">
        <v>18</v>
      </c>
      <c r="D215" t="s">
        <v>12</v>
      </c>
      <c r="E215">
        <v>0.14069999999999999</v>
      </c>
      <c r="F215">
        <v>0.19950000000000001</v>
      </c>
      <c r="G215">
        <v>1.2636000000000001</v>
      </c>
      <c r="H215">
        <v>290</v>
      </c>
      <c r="I215">
        <v>625</v>
      </c>
      <c r="J215">
        <v>138.57</v>
      </c>
    </row>
    <row r="216" spans="1:10" x14ac:dyDescent="0.25">
      <c r="A216" t="s">
        <v>13</v>
      </c>
      <c r="B216">
        <v>127</v>
      </c>
      <c r="C216">
        <v>2</v>
      </c>
      <c r="D216" t="s">
        <v>11</v>
      </c>
      <c r="E216">
        <v>0.15310000000000001</v>
      </c>
      <c r="F216">
        <v>0.21429999999999999</v>
      </c>
      <c r="G216">
        <v>0.98780000000000001</v>
      </c>
      <c r="H216">
        <v>250</v>
      </c>
      <c r="I216">
        <v>635</v>
      </c>
      <c r="J216">
        <v>77.89</v>
      </c>
    </row>
    <row r="217" spans="1:10" x14ac:dyDescent="0.25">
      <c r="A217" t="s">
        <v>13</v>
      </c>
      <c r="B217">
        <v>127</v>
      </c>
      <c r="C217">
        <v>7</v>
      </c>
      <c r="D217" t="s">
        <v>11</v>
      </c>
      <c r="E217">
        <v>0.1426</v>
      </c>
      <c r="F217">
        <v>0.20080000000000001</v>
      </c>
      <c r="G217">
        <v>0.98780000000000001</v>
      </c>
      <c r="H217">
        <v>250</v>
      </c>
      <c r="I217">
        <v>635</v>
      </c>
      <c r="J217">
        <v>77.89</v>
      </c>
    </row>
    <row r="218" spans="1:10" x14ac:dyDescent="0.25">
      <c r="A218" t="s">
        <v>13</v>
      </c>
      <c r="B218">
        <v>127</v>
      </c>
      <c r="C218">
        <v>8</v>
      </c>
      <c r="D218" t="s">
        <v>11</v>
      </c>
      <c r="E218">
        <v>0.12889999999999999</v>
      </c>
      <c r="F218">
        <v>0.14799999999999999</v>
      </c>
      <c r="G218">
        <v>0.98780000000000001</v>
      </c>
      <c r="H218">
        <v>250</v>
      </c>
      <c r="I218">
        <v>635</v>
      </c>
      <c r="J218">
        <v>77.89</v>
      </c>
    </row>
    <row r="219" spans="1:10" x14ac:dyDescent="0.25">
      <c r="A219" t="s">
        <v>13</v>
      </c>
      <c r="B219">
        <v>127</v>
      </c>
      <c r="C219">
        <v>10</v>
      </c>
      <c r="D219" t="s">
        <v>11</v>
      </c>
      <c r="E219">
        <v>0.2019</v>
      </c>
      <c r="F219">
        <v>0.30620000000000003</v>
      </c>
      <c r="G219">
        <v>0.98780000000000001</v>
      </c>
      <c r="H219">
        <v>250</v>
      </c>
      <c r="I219">
        <v>635</v>
      </c>
      <c r="J219">
        <v>77.89</v>
      </c>
    </row>
    <row r="220" spans="1:10" x14ac:dyDescent="0.25">
      <c r="A220" t="s">
        <v>13</v>
      </c>
      <c r="B220">
        <v>127</v>
      </c>
      <c r="C220">
        <v>11</v>
      </c>
      <c r="D220" t="s">
        <v>11</v>
      </c>
      <c r="E220">
        <v>0.13120000000000001</v>
      </c>
      <c r="F220">
        <v>0.17399999999999999</v>
      </c>
      <c r="G220">
        <v>0.98780000000000001</v>
      </c>
      <c r="H220">
        <v>250</v>
      </c>
      <c r="I220">
        <v>635</v>
      </c>
      <c r="J220">
        <v>77.89</v>
      </c>
    </row>
    <row r="221" spans="1:10" x14ac:dyDescent="0.25">
      <c r="A221" t="s">
        <v>13</v>
      </c>
      <c r="B221">
        <v>127</v>
      </c>
      <c r="C221">
        <v>12</v>
      </c>
      <c r="D221" t="s">
        <v>11</v>
      </c>
      <c r="E221">
        <v>0.1186</v>
      </c>
      <c r="F221">
        <v>0.13500000000000001</v>
      </c>
      <c r="G221">
        <v>0.98780000000000001</v>
      </c>
      <c r="H221">
        <v>250</v>
      </c>
      <c r="I221">
        <v>635</v>
      </c>
      <c r="J221">
        <v>77.89</v>
      </c>
    </row>
    <row r="222" spans="1:10" x14ac:dyDescent="0.25">
      <c r="A222" t="s">
        <v>13</v>
      </c>
      <c r="B222">
        <v>127</v>
      </c>
      <c r="C222">
        <v>1</v>
      </c>
      <c r="D222" t="s">
        <v>12</v>
      </c>
      <c r="E222">
        <v>9.5699999999999993E-2</v>
      </c>
      <c r="F222">
        <v>4.4999999999999997E-3</v>
      </c>
      <c r="G222">
        <v>0.98780000000000001</v>
      </c>
      <c r="H222">
        <v>250</v>
      </c>
      <c r="I222">
        <v>635</v>
      </c>
      <c r="J222">
        <v>77.89</v>
      </c>
    </row>
    <row r="223" spans="1:10" x14ac:dyDescent="0.25">
      <c r="A223" t="s">
        <v>13</v>
      </c>
      <c r="B223">
        <v>127</v>
      </c>
      <c r="C223">
        <v>3</v>
      </c>
      <c r="D223" t="s">
        <v>12</v>
      </c>
      <c r="E223">
        <v>0.153</v>
      </c>
      <c r="F223">
        <v>0.15229999999999999</v>
      </c>
      <c r="G223">
        <v>0.98780000000000001</v>
      </c>
      <c r="H223">
        <v>250</v>
      </c>
      <c r="I223">
        <v>635</v>
      </c>
      <c r="J223">
        <v>77.89</v>
      </c>
    </row>
    <row r="224" spans="1:10" x14ac:dyDescent="0.25">
      <c r="A224" t="s">
        <v>13</v>
      </c>
      <c r="B224">
        <v>127</v>
      </c>
      <c r="C224">
        <v>4</v>
      </c>
      <c r="D224" t="s">
        <v>12</v>
      </c>
      <c r="E224">
        <v>0.1396</v>
      </c>
      <c r="F224">
        <v>0.1706</v>
      </c>
      <c r="G224">
        <v>0.98780000000000001</v>
      </c>
      <c r="H224">
        <v>250</v>
      </c>
      <c r="I224">
        <v>635</v>
      </c>
      <c r="J224">
        <v>77.89</v>
      </c>
    </row>
    <row r="225" spans="1:10" x14ac:dyDescent="0.25">
      <c r="A225" t="s">
        <v>13</v>
      </c>
      <c r="B225">
        <v>127</v>
      </c>
      <c r="C225">
        <v>5</v>
      </c>
      <c r="D225" t="s">
        <v>12</v>
      </c>
      <c r="E225">
        <v>9.7699999999999995E-2</v>
      </c>
      <c r="F225">
        <v>2.76E-2</v>
      </c>
      <c r="G225">
        <v>0.98780000000000001</v>
      </c>
      <c r="H225">
        <v>250</v>
      </c>
      <c r="I225">
        <v>635</v>
      </c>
      <c r="J225">
        <v>77.89</v>
      </c>
    </row>
    <row r="226" spans="1:10" x14ac:dyDescent="0.25">
      <c r="A226" t="s">
        <v>13</v>
      </c>
      <c r="B226">
        <v>127</v>
      </c>
      <c r="C226">
        <v>6</v>
      </c>
      <c r="D226" t="s">
        <v>12</v>
      </c>
      <c r="E226">
        <v>0.1787</v>
      </c>
      <c r="F226">
        <v>0.25240000000000001</v>
      </c>
      <c r="G226">
        <v>0.98780000000000001</v>
      </c>
      <c r="H226">
        <v>250</v>
      </c>
      <c r="I226">
        <v>635</v>
      </c>
      <c r="J226">
        <v>77.89</v>
      </c>
    </row>
    <row r="227" spans="1:10" x14ac:dyDescent="0.25">
      <c r="A227" t="s">
        <v>13</v>
      </c>
      <c r="B227">
        <v>127</v>
      </c>
      <c r="C227">
        <v>9</v>
      </c>
      <c r="D227" t="s">
        <v>12</v>
      </c>
      <c r="E227">
        <v>0.16839999999999999</v>
      </c>
      <c r="F227">
        <v>0.19520000000000001</v>
      </c>
      <c r="G227">
        <v>0.98780000000000001</v>
      </c>
      <c r="H227">
        <v>250</v>
      </c>
      <c r="I227">
        <v>635</v>
      </c>
      <c r="J227">
        <v>77.89</v>
      </c>
    </row>
    <row r="228" spans="1:10" x14ac:dyDescent="0.25">
      <c r="A228" t="s">
        <v>13</v>
      </c>
      <c r="B228">
        <v>127</v>
      </c>
      <c r="C228">
        <v>13</v>
      </c>
      <c r="D228" t="s">
        <v>12</v>
      </c>
      <c r="E228">
        <v>0.15859999999999999</v>
      </c>
      <c r="F228">
        <v>0.2248</v>
      </c>
      <c r="G228">
        <v>0.98780000000000001</v>
      </c>
      <c r="H228">
        <v>250</v>
      </c>
      <c r="I228">
        <v>635</v>
      </c>
      <c r="J228">
        <v>77.89</v>
      </c>
    </row>
    <row r="229" spans="1:10" x14ac:dyDescent="0.25">
      <c r="A229" t="s">
        <v>13</v>
      </c>
      <c r="B229">
        <v>131</v>
      </c>
      <c r="C229">
        <v>5</v>
      </c>
      <c r="D229" t="s">
        <v>11</v>
      </c>
      <c r="E229">
        <v>0.14699999999999999</v>
      </c>
      <c r="F229">
        <v>0.12520000000000001</v>
      </c>
      <c r="G229">
        <v>1.9257</v>
      </c>
      <c r="H229">
        <v>380</v>
      </c>
      <c r="I229">
        <v>580</v>
      </c>
      <c r="J229">
        <v>101.92</v>
      </c>
    </row>
    <row r="230" spans="1:10" x14ac:dyDescent="0.25">
      <c r="A230" t="s">
        <v>13</v>
      </c>
      <c r="B230">
        <v>131</v>
      </c>
      <c r="C230">
        <v>7</v>
      </c>
      <c r="D230" t="s">
        <v>11</v>
      </c>
      <c r="E230">
        <v>0.1182</v>
      </c>
      <c r="F230">
        <v>7.6499999999999999E-2</v>
      </c>
      <c r="G230">
        <v>1.9257</v>
      </c>
      <c r="H230">
        <v>380</v>
      </c>
      <c r="I230">
        <v>580</v>
      </c>
      <c r="J230">
        <v>101.92</v>
      </c>
    </row>
    <row r="231" spans="1:10" x14ac:dyDescent="0.25">
      <c r="A231" t="s">
        <v>13</v>
      </c>
      <c r="B231">
        <v>131</v>
      </c>
      <c r="C231">
        <v>9</v>
      </c>
      <c r="D231" t="s">
        <v>11</v>
      </c>
      <c r="E231">
        <v>0.14330000000000001</v>
      </c>
      <c r="F231">
        <v>9.5899999999999999E-2</v>
      </c>
      <c r="G231">
        <v>1.9257</v>
      </c>
      <c r="H231">
        <v>380</v>
      </c>
      <c r="I231">
        <v>580</v>
      </c>
      <c r="J231">
        <v>101.92</v>
      </c>
    </row>
    <row r="232" spans="1:10" x14ac:dyDescent="0.25">
      <c r="A232" t="s">
        <v>13</v>
      </c>
      <c r="B232">
        <v>131</v>
      </c>
      <c r="C232">
        <v>12</v>
      </c>
      <c r="D232" t="s">
        <v>11</v>
      </c>
      <c r="E232">
        <v>0.14180000000000001</v>
      </c>
      <c r="F232">
        <v>0.1179</v>
      </c>
      <c r="G232">
        <v>1.9257</v>
      </c>
      <c r="H232">
        <v>380</v>
      </c>
      <c r="I232">
        <v>580</v>
      </c>
      <c r="J232">
        <v>101.92</v>
      </c>
    </row>
    <row r="233" spans="1:10" x14ac:dyDescent="0.25">
      <c r="A233" t="s">
        <v>13</v>
      </c>
      <c r="B233">
        <v>131</v>
      </c>
      <c r="C233">
        <v>14</v>
      </c>
      <c r="D233" t="s">
        <v>11</v>
      </c>
      <c r="E233">
        <v>0.1101</v>
      </c>
      <c r="F233">
        <v>8.6099999999999996E-2</v>
      </c>
      <c r="G233">
        <v>1.9257</v>
      </c>
      <c r="H233">
        <v>380</v>
      </c>
      <c r="I233">
        <v>580</v>
      </c>
      <c r="J233">
        <v>101.92</v>
      </c>
    </row>
    <row r="234" spans="1:10" x14ac:dyDescent="0.25">
      <c r="A234" t="s">
        <v>13</v>
      </c>
      <c r="B234">
        <v>131</v>
      </c>
      <c r="C234">
        <v>1</v>
      </c>
      <c r="D234" t="s">
        <v>12</v>
      </c>
      <c r="E234">
        <v>0.14949999999999999</v>
      </c>
      <c r="F234">
        <v>0.13200000000000001</v>
      </c>
      <c r="G234">
        <v>1.9257</v>
      </c>
      <c r="H234">
        <v>380</v>
      </c>
      <c r="I234">
        <v>580</v>
      </c>
      <c r="J234">
        <v>101.92</v>
      </c>
    </row>
    <row r="235" spans="1:10" x14ac:dyDescent="0.25">
      <c r="A235" t="s">
        <v>13</v>
      </c>
      <c r="B235">
        <v>131</v>
      </c>
      <c r="C235">
        <v>2</v>
      </c>
      <c r="D235" t="s">
        <v>12</v>
      </c>
      <c r="E235">
        <v>0.12709999999999999</v>
      </c>
      <c r="F235">
        <v>9.4799999999999995E-2</v>
      </c>
      <c r="G235">
        <v>1.9257</v>
      </c>
      <c r="H235">
        <v>380</v>
      </c>
      <c r="I235">
        <v>580</v>
      </c>
      <c r="J235">
        <v>101.92</v>
      </c>
    </row>
    <row r="236" spans="1:10" x14ac:dyDescent="0.25">
      <c r="A236" t="s">
        <v>13</v>
      </c>
      <c r="B236">
        <v>131</v>
      </c>
      <c r="C236">
        <v>3</v>
      </c>
      <c r="D236" t="s">
        <v>12</v>
      </c>
      <c r="E236">
        <v>0.1585</v>
      </c>
      <c r="F236">
        <v>0.13639999999999999</v>
      </c>
      <c r="G236">
        <v>1.9257</v>
      </c>
      <c r="H236">
        <v>380</v>
      </c>
      <c r="I236">
        <v>580</v>
      </c>
      <c r="J236">
        <v>101.92</v>
      </c>
    </row>
    <row r="237" spans="1:10" x14ac:dyDescent="0.25">
      <c r="A237" t="s">
        <v>13</v>
      </c>
      <c r="B237">
        <v>131</v>
      </c>
      <c r="C237">
        <v>4</v>
      </c>
      <c r="D237" t="s">
        <v>12</v>
      </c>
      <c r="E237">
        <v>0.1258</v>
      </c>
      <c r="F237">
        <v>8.8800000000000004E-2</v>
      </c>
      <c r="G237">
        <v>1.9257</v>
      </c>
      <c r="H237">
        <v>380</v>
      </c>
      <c r="I237">
        <v>580</v>
      </c>
      <c r="J237">
        <v>101.92</v>
      </c>
    </row>
    <row r="238" spans="1:10" x14ac:dyDescent="0.25">
      <c r="A238" t="s">
        <v>13</v>
      </c>
      <c r="B238">
        <v>131</v>
      </c>
      <c r="C238">
        <v>6</v>
      </c>
      <c r="D238" t="s">
        <v>12</v>
      </c>
      <c r="E238">
        <v>0.1202</v>
      </c>
      <c r="F238">
        <v>0.10059999999999999</v>
      </c>
      <c r="G238">
        <v>1.9257</v>
      </c>
      <c r="H238">
        <v>380</v>
      </c>
      <c r="I238">
        <v>580</v>
      </c>
      <c r="J238">
        <v>101.92</v>
      </c>
    </row>
    <row r="239" spans="1:10" x14ac:dyDescent="0.25">
      <c r="A239" t="s">
        <v>13</v>
      </c>
      <c r="B239">
        <v>131</v>
      </c>
      <c r="C239">
        <v>8</v>
      </c>
      <c r="D239" t="s">
        <v>12</v>
      </c>
      <c r="E239">
        <v>0.1623</v>
      </c>
      <c r="F239">
        <v>0.1227</v>
      </c>
      <c r="G239">
        <v>1.9257</v>
      </c>
      <c r="H239">
        <v>380</v>
      </c>
      <c r="I239">
        <v>580</v>
      </c>
      <c r="J239">
        <v>101.92</v>
      </c>
    </row>
    <row r="240" spans="1:10" x14ac:dyDescent="0.25">
      <c r="A240" t="s">
        <v>13</v>
      </c>
      <c r="B240">
        <v>131</v>
      </c>
      <c r="C240">
        <v>10</v>
      </c>
      <c r="D240" t="s">
        <v>12</v>
      </c>
      <c r="E240">
        <v>0.13100000000000001</v>
      </c>
      <c r="F240">
        <v>8.6599999999999996E-2</v>
      </c>
      <c r="G240">
        <v>1.9257</v>
      </c>
      <c r="H240">
        <v>380</v>
      </c>
      <c r="I240">
        <v>580</v>
      </c>
      <c r="J240">
        <v>101.92</v>
      </c>
    </row>
    <row r="241" spans="1:15" x14ac:dyDescent="0.25">
      <c r="A241" t="s">
        <v>13</v>
      </c>
      <c r="B241">
        <v>131</v>
      </c>
      <c r="C241">
        <v>11</v>
      </c>
      <c r="D241" t="s">
        <v>12</v>
      </c>
      <c r="E241">
        <v>0.13109999999999999</v>
      </c>
      <c r="F241">
        <v>0.12720000000000001</v>
      </c>
      <c r="G241">
        <v>1.9257</v>
      </c>
      <c r="H241">
        <v>380</v>
      </c>
      <c r="I241">
        <v>580</v>
      </c>
      <c r="J241">
        <v>101.92</v>
      </c>
    </row>
    <row r="242" spans="1:15" x14ac:dyDescent="0.25">
      <c r="A242" t="s">
        <v>13</v>
      </c>
      <c r="B242">
        <v>131</v>
      </c>
      <c r="C242">
        <v>13</v>
      </c>
      <c r="D242" t="s">
        <v>12</v>
      </c>
      <c r="E242">
        <v>0.1452</v>
      </c>
      <c r="F242">
        <v>0.12139999999999999</v>
      </c>
      <c r="G242">
        <v>1.9257</v>
      </c>
      <c r="H242">
        <v>380</v>
      </c>
      <c r="I242">
        <v>580</v>
      </c>
      <c r="J242">
        <v>101.92</v>
      </c>
    </row>
    <row r="243" spans="1:15" x14ac:dyDescent="0.25">
      <c r="A243" t="s">
        <v>13</v>
      </c>
      <c r="B243">
        <v>131</v>
      </c>
      <c r="C243">
        <v>15</v>
      </c>
      <c r="D243" t="s">
        <v>12</v>
      </c>
      <c r="E243">
        <v>0.13339999999999999</v>
      </c>
      <c r="F243">
        <v>0.1022</v>
      </c>
      <c r="G243">
        <v>1.9257</v>
      </c>
      <c r="H243">
        <v>380</v>
      </c>
      <c r="I243">
        <v>580</v>
      </c>
      <c r="J243">
        <v>101.92</v>
      </c>
    </row>
    <row r="244" spans="1:15" x14ac:dyDescent="0.25">
      <c r="A244" t="s">
        <v>13</v>
      </c>
      <c r="B244">
        <v>131</v>
      </c>
      <c r="C244">
        <v>16</v>
      </c>
      <c r="D244" t="s">
        <v>12</v>
      </c>
      <c r="E244">
        <v>0.11559999999999999</v>
      </c>
      <c r="F244">
        <v>8.8800000000000004E-2</v>
      </c>
      <c r="G244">
        <v>1.9257</v>
      </c>
      <c r="H244">
        <v>380</v>
      </c>
      <c r="I244">
        <v>580</v>
      </c>
      <c r="J244">
        <v>101.92</v>
      </c>
    </row>
    <row r="245" spans="1:15" x14ac:dyDescent="0.25">
      <c r="A245" t="s">
        <v>13</v>
      </c>
      <c r="B245">
        <v>131</v>
      </c>
      <c r="C245">
        <v>17</v>
      </c>
      <c r="D245" t="s">
        <v>12</v>
      </c>
      <c r="E245">
        <v>8.7599999999999997E-2</v>
      </c>
      <c r="F245">
        <v>4.07E-2</v>
      </c>
      <c r="G245">
        <v>1.9257</v>
      </c>
      <c r="H245">
        <v>380</v>
      </c>
      <c r="I245">
        <v>580</v>
      </c>
      <c r="J245">
        <v>101.92</v>
      </c>
    </row>
    <row r="246" spans="1:15" x14ac:dyDescent="0.25">
      <c r="A246" t="s">
        <v>13</v>
      </c>
      <c r="B246">
        <v>131</v>
      </c>
      <c r="C246">
        <v>18</v>
      </c>
      <c r="D246" t="s">
        <v>12</v>
      </c>
      <c r="E246">
        <v>8.0100000000000005E-2</v>
      </c>
      <c r="F246">
        <v>3.9399999999999998E-2</v>
      </c>
      <c r="G246">
        <v>1.9257</v>
      </c>
      <c r="H246">
        <v>380</v>
      </c>
      <c r="I246">
        <v>580</v>
      </c>
      <c r="J246">
        <v>101.92</v>
      </c>
    </row>
    <row r="247" spans="1:15" x14ac:dyDescent="0.25">
      <c r="A247" t="s">
        <v>14</v>
      </c>
      <c r="B247">
        <v>11</v>
      </c>
      <c r="C247">
        <v>1</v>
      </c>
      <c r="D247" t="s">
        <v>12</v>
      </c>
      <c r="E247">
        <v>0.72009999999999996</v>
      </c>
      <c r="F247">
        <v>0.1164</v>
      </c>
      <c r="G247">
        <v>6.7226999999999997</v>
      </c>
      <c r="H247">
        <v>367</v>
      </c>
      <c r="I247">
        <v>481</v>
      </c>
      <c r="J247">
        <v>155.47</v>
      </c>
      <c r="K247">
        <v>1</v>
      </c>
      <c r="L247">
        <v>16.2</v>
      </c>
    </row>
    <row r="248" spans="1:15" x14ac:dyDescent="0.25">
      <c r="A248" t="s">
        <v>14</v>
      </c>
      <c r="B248">
        <v>11</v>
      </c>
      <c r="C248">
        <v>2</v>
      </c>
      <c r="D248" t="s">
        <v>11</v>
      </c>
      <c r="E248">
        <v>0.92769999999999997</v>
      </c>
      <c r="F248">
        <v>0.2298</v>
      </c>
      <c r="G248">
        <v>6.7226999999999997</v>
      </c>
      <c r="H248">
        <v>367</v>
      </c>
      <c r="I248">
        <v>481</v>
      </c>
      <c r="J248">
        <v>155.47</v>
      </c>
      <c r="K248">
        <v>1</v>
      </c>
      <c r="L248">
        <v>14.2</v>
      </c>
    </row>
    <row r="249" spans="1:15" x14ac:dyDescent="0.25">
      <c r="A249" t="s">
        <v>14</v>
      </c>
      <c r="B249">
        <v>11</v>
      </c>
      <c r="C249">
        <v>3</v>
      </c>
      <c r="D249" t="s">
        <v>11</v>
      </c>
      <c r="E249">
        <v>0.871</v>
      </c>
      <c r="F249">
        <v>0.16339999999999999</v>
      </c>
      <c r="G249">
        <v>6.7226999999999997</v>
      </c>
      <c r="H249">
        <v>367</v>
      </c>
      <c r="I249">
        <v>481</v>
      </c>
      <c r="J249">
        <v>155.47</v>
      </c>
      <c r="K249">
        <v>1</v>
      </c>
      <c r="L249">
        <v>12.8</v>
      </c>
    </row>
    <row r="250" spans="1:15" x14ac:dyDescent="0.25">
      <c r="A250" t="s">
        <v>14</v>
      </c>
      <c r="B250">
        <v>11</v>
      </c>
      <c r="C250">
        <v>4</v>
      </c>
      <c r="D250" t="s">
        <v>12</v>
      </c>
      <c r="E250">
        <v>0.86350000000000005</v>
      </c>
      <c r="F250">
        <v>0.29980000000000001</v>
      </c>
      <c r="G250">
        <v>6.7226999999999997</v>
      </c>
      <c r="H250">
        <v>367</v>
      </c>
      <c r="I250">
        <v>481</v>
      </c>
      <c r="J250">
        <v>155.47</v>
      </c>
      <c r="K250">
        <v>1</v>
      </c>
    </row>
    <row r="251" spans="1:15" x14ac:dyDescent="0.25">
      <c r="A251" t="s">
        <v>14</v>
      </c>
      <c r="B251">
        <v>11</v>
      </c>
      <c r="C251">
        <v>5</v>
      </c>
      <c r="D251" t="s">
        <v>12</v>
      </c>
      <c r="E251">
        <v>0.98340000000000005</v>
      </c>
      <c r="F251">
        <v>0.3034</v>
      </c>
      <c r="G251">
        <v>6.7226999999999997</v>
      </c>
      <c r="H251">
        <v>367</v>
      </c>
      <c r="I251">
        <v>481</v>
      </c>
      <c r="J251">
        <v>155.47</v>
      </c>
      <c r="K251">
        <v>1</v>
      </c>
    </row>
    <row r="252" spans="1:15" x14ac:dyDescent="0.25">
      <c r="A252" t="s">
        <v>14</v>
      </c>
      <c r="B252">
        <v>11</v>
      </c>
      <c r="C252">
        <v>6</v>
      </c>
      <c r="D252" t="s">
        <v>11</v>
      </c>
      <c r="E252">
        <v>0.33329999999999999</v>
      </c>
      <c r="F252">
        <v>0</v>
      </c>
      <c r="G252">
        <v>6.7226999999999997</v>
      </c>
      <c r="H252">
        <v>367</v>
      </c>
      <c r="I252">
        <v>481</v>
      </c>
      <c r="J252">
        <v>155.47</v>
      </c>
      <c r="K252">
        <v>1</v>
      </c>
      <c r="L252">
        <v>14.2</v>
      </c>
    </row>
    <row r="253" spans="1:15" x14ac:dyDescent="0.25">
      <c r="A253" t="s">
        <v>14</v>
      </c>
      <c r="B253">
        <v>11</v>
      </c>
      <c r="C253">
        <v>7</v>
      </c>
      <c r="D253" t="s">
        <v>12</v>
      </c>
      <c r="E253">
        <v>0.80210000000000004</v>
      </c>
      <c r="F253">
        <v>0.13320000000000001</v>
      </c>
      <c r="G253">
        <v>6.7226999999999997</v>
      </c>
      <c r="H253">
        <v>367</v>
      </c>
      <c r="I253">
        <v>481</v>
      </c>
      <c r="J253">
        <v>155.47</v>
      </c>
      <c r="K253">
        <v>1</v>
      </c>
      <c r="L253">
        <v>14.4</v>
      </c>
    </row>
    <row r="254" spans="1:15" x14ac:dyDescent="0.25">
      <c r="A254" t="s">
        <v>14</v>
      </c>
      <c r="B254">
        <v>11</v>
      </c>
      <c r="C254">
        <v>8</v>
      </c>
      <c r="D254" t="s">
        <v>11</v>
      </c>
      <c r="E254">
        <v>0.62439999999999996</v>
      </c>
      <c r="F254">
        <v>7.7600000000000002E-2</v>
      </c>
      <c r="G254">
        <v>6.7226999999999997</v>
      </c>
      <c r="H254">
        <v>367</v>
      </c>
      <c r="I254">
        <v>481</v>
      </c>
      <c r="J254">
        <v>155.47</v>
      </c>
      <c r="K254">
        <v>1</v>
      </c>
      <c r="L254" s="2">
        <v>6</v>
      </c>
      <c r="O254" s="2"/>
    </row>
    <row r="255" spans="1:15" x14ac:dyDescent="0.25">
      <c r="A255" t="s">
        <v>14</v>
      </c>
      <c r="B255">
        <v>11</v>
      </c>
      <c r="C255">
        <v>9</v>
      </c>
      <c r="D255" t="s">
        <v>12</v>
      </c>
      <c r="E255">
        <v>0.81740000000000002</v>
      </c>
      <c r="F255">
        <v>0.29980000000000001</v>
      </c>
      <c r="G255">
        <v>6.7226999999999997</v>
      </c>
      <c r="H255">
        <v>367</v>
      </c>
      <c r="I255">
        <v>481</v>
      </c>
      <c r="J255">
        <v>155.47</v>
      </c>
      <c r="K255">
        <v>1</v>
      </c>
      <c r="L255">
        <v>12.4</v>
      </c>
    </row>
    <row r="256" spans="1:15" x14ac:dyDescent="0.25">
      <c r="A256" t="s">
        <v>14</v>
      </c>
      <c r="B256">
        <v>11</v>
      </c>
      <c r="C256">
        <v>10</v>
      </c>
      <c r="D256" t="s">
        <v>12</v>
      </c>
      <c r="E256">
        <v>1.0363</v>
      </c>
      <c r="F256">
        <v>0.59670000000000001</v>
      </c>
      <c r="G256">
        <v>6.7226999999999997</v>
      </c>
      <c r="H256">
        <v>367</v>
      </c>
      <c r="I256">
        <v>481</v>
      </c>
      <c r="J256">
        <v>155.47</v>
      </c>
      <c r="K256">
        <v>2</v>
      </c>
      <c r="L256">
        <v>18.8</v>
      </c>
    </row>
    <row r="257" spans="1:12" x14ac:dyDescent="0.25">
      <c r="A257" t="s">
        <v>14</v>
      </c>
      <c r="B257">
        <v>11</v>
      </c>
      <c r="C257">
        <v>11</v>
      </c>
      <c r="D257" t="s">
        <v>11</v>
      </c>
      <c r="E257">
        <v>0.50539999999999996</v>
      </c>
      <c r="F257">
        <v>2.2499999999999999E-2</v>
      </c>
      <c r="G257">
        <v>6.7226999999999997</v>
      </c>
      <c r="H257">
        <v>367</v>
      </c>
      <c r="I257">
        <v>481</v>
      </c>
      <c r="J257">
        <v>155.47</v>
      </c>
      <c r="K257">
        <v>2</v>
      </c>
      <c r="L257">
        <v>17.8</v>
      </c>
    </row>
    <row r="258" spans="1:12" x14ac:dyDescent="0.25">
      <c r="A258" t="s">
        <v>14</v>
      </c>
      <c r="B258">
        <v>11</v>
      </c>
      <c r="C258">
        <v>12</v>
      </c>
      <c r="D258" t="s">
        <v>12</v>
      </c>
      <c r="E258">
        <v>0.97619999999999996</v>
      </c>
      <c r="F258">
        <v>0.52729999999999999</v>
      </c>
      <c r="G258">
        <v>6.7226999999999997</v>
      </c>
      <c r="H258">
        <v>367</v>
      </c>
      <c r="I258">
        <v>481</v>
      </c>
      <c r="J258">
        <v>155.47</v>
      </c>
      <c r="K258">
        <v>2</v>
      </c>
    </row>
    <row r="259" spans="1:12" x14ac:dyDescent="0.25">
      <c r="A259" t="s">
        <v>14</v>
      </c>
      <c r="B259">
        <v>11</v>
      </c>
      <c r="C259">
        <v>13</v>
      </c>
      <c r="D259" t="s">
        <v>12</v>
      </c>
      <c r="E259">
        <v>0.93389999999999995</v>
      </c>
      <c r="F259">
        <v>0.43180000000000002</v>
      </c>
      <c r="G259">
        <v>6.7226999999999997</v>
      </c>
      <c r="H259">
        <v>367</v>
      </c>
      <c r="I259">
        <v>481</v>
      </c>
      <c r="J259">
        <v>155.47</v>
      </c>
      <c r="K259">
        <v>2</v>
      </c>
      <c r="L259">
        <v>16.8</v>
      </c>
    </row>
    <row r="260" spans="1:12" x14ac:dyDescent="0.25">
      <c r="A260" t="s">
        <v>14</v>
      </c>
      <c r="B260">
        <v>11</v>
      </c>
      <c r="C260">
        <v>14</v>
      </c>
      <c r="D260" t="s">
        <v>12</v>
      </c>
      <c r="E260">
        <v>0.59930000000000005</v>
      </c>
      <c r="F260">
        <v>0.14810000000000001</v>
      </c>
      <c r="G260">
        <v>6.7226999999999997</v>
      </c>
      <c r="H260">
        <v>367</v>
      </c>
      <c r="I260">
        <v>481</v>
      </c>
      <c r="J260">
        <v>155.47</v>
      </c>
      <c r="K260">
        <v>2</v>
      </c>
    </row>
    <row r="261" spans="1:12" x14ac:dyDescent="0.25">
      <c r="A261" t="s">
        <v>14</v>
      </c>
      <c r="B261">
        <v>11</v>
      </c>
      <c r="C261">
        <v>15</v>
      </c>
      <c r="D261" t="s">
        <v>11</v>
      </c>
      <c r="E261">
        <v>0.77949999999999997</v>
      </c>
      <c r="F261">
        <v>0.25319999999999998</v>
      </c>
      <c r="G261">
        <v>6.7226999999999997</v>
      </c>
      <c r="H261">
        <v>367</v>
      </c>
      <c r="I261">
        <v>481</v>
      </c>
      <c r="J261">
        <v>155.47</v>
      </c>
      <c r="K261">
        <v>2</v>
      </c>
      <c r="L261">
        <v>15.6</v>
      </c>
    </row>
    <row r="262" spans="1:12" x14ac:dyDescent="0.25">
      <c r="A262" t="s">
        <v>14</v>
      </c>
      <c r="B262">
        <v>11</v>
      </c>
      <c r="C262">
        <v>16</v>
      </c>
      <c r="D262" t="s">
        <v>12</v>
      </c>
      <c r="E262">
        <v>0.80779999999999996</v>
      </c>
      <c r="F262">
        <v>0.29160000000000003</v>
      </c>
      <c r="G262">
        <v>6.7226999999999997</v>
      </c>
      <c r="H262">
        <v>367</v>
      </c>
      <c r="I262">
        <v>481</v>
      </c>
      <c r="J262">
        <v>155.47</v>
      </c>
      <c r="K262">
        <v>2</v>
      </c>
      <c r="L262">
        <v>18</v>
      </c>
    </row>
    <row r="263" spans="1:12" x14ac:dyDescent="0.25">
      <c r="A263" t="s">
        <v>14</v>
      </c>
      <c r="B263">
        <v>11</v>
      </c>
      <c r="C263">
        <v>17</v>
      </c>
      <c r="D263" t="s">
        <v>11</v>
      </c>
      <c r="E263">
        <v>0.67989999999999995</v>
      </c>
      <c r="F263">
        <v>0.22720000000000001</v>
      </c>
      <c r="G263">
        <v>6.7226999999999997</v>
      </c>
      <c r="H263">
        <v>367</v>
      </c>
      <c r="I263">
        <v>481</v>
      </c>
      <c r="J263">
        <v>155.47</v>
      </c>
      <c r="K263">
        <v>2</v>
      </c>
      <c r="L263">
        <v>16.399999999999999</v>
      </c>
    </row>
    <row r="264" spans="1:12" x14ac:dyDescent="0.25">
      <c r="A264" t="s">
        <v>14</v>
      </c>
      <c r="B264">
        <v>11</v>
      </c>
      <c r="C264">
        <v>18</v>
      </c>
      <c r="D264" t="s">
        <v>12</v>
      </c>
      <c r="E264">
        <v>0.2301</v>
      </c>
      <c r="F264">
        <v>0</v>
      </c>
      <c r="G264">
        <v>6.7226999999999997</v>
      </c>
      <c r="H264">
        <v>367</v>
      </c>
      <c r="I264">
        <v>481</v>
      </c>
      <c r="J264">
        <v>155.47</v>
      </c>
      <c r="K264">
        <v>2</v>
      </c>
    </row>
    <row r="265" spans="1:12" x14ac:dyDescent="0.25">
      <c r="A265" t="s">
        <v>14</v>
      </c>
      <c r="B265">
        <v>11</v>
      </c>
      <c r="C265">
        <v>20</v>
      </c>
      <c r="D265" t="s">
        <v>12</v>
      </c>
      <c r="E265">
        <v>0.20669999999999999</v>
      </c>
      <c r="F265">
        <v>0</v>
      </c>
      <c r="G265">
        <v>6.7226999999999997</v>
      </c>
      <c r="H265">
        <v>367</v>
      </c>
      <c r="I265">
        <v>481</v>
      </c>
      <c r="J265">
        <v>155.47</v>
      </c>
      <c r="K265">
        <v>2</v>
      </c>
    </row>
    <row r="266" spans="1:12" x14ac:dyDescent="0.25">
      <c r="A266" t="s">
        <v>14</v>
      </c>
      <c r="B266">
        <v>22</v>
      </c>
      <c r="C266">
        <v>1</v>
      </c>
      <c r="D266" t="s">
        <v>12</v>
      </c>
      <c r="E266">
        <v>0.64680000000000004</v>
      </c>
      <c r="F266">
        <v>4.2099999999999999E-2</v>
      </c>
      <c r="G266">
        <v>5.1752000000000002</v>
      </c>
      <c r="H266">
        <v>305</v>
      </c>
      <c r="I266">
        <v>462</v>
      </c>
      <c r="J266">
        <v>124.36</v>
      </c>
      <c r="K266">
        <v>1</v>
      </c>
    </row>
    <row r="267" spans="1:12" x14ac:dyDescent="0.25">
      <c r="A267" t="s">
        <v>14</v>
      </c>
      <c r="B267">
        <v>22</v>
      </c>
      <c r="C267">
        <v>2</v>
      </c>
      <c r="D267" t="s">
        <v>12</v>
      </c>
      <c r="E267">
        <v>0.59809999999999997</v>
      </c>
      <c r="F267">
        <v>4.5999999999999999E-2</v>
      </c>
      <c r="G267">
        <v>5.1752000000000002</v>
      </c>
      <c r="H267">
        <v>305</v>
      </c>
      <c r="I267">
        <v>462</v>
      </c>
      <c r="J267">
        <v>124.36</v>
      </c>
      <c r="K267">
        <v>1</v>
      </c>
    </row>
    <row r="268" spans="1:12" x14ac:dyDescent="0.25">
      <c r="A268" t="s">
        <v>14</v>
      </c>
      <c r="B268">
        <v>22</v>
      </c>
      <c r="C268">
        <v>3</v>
      </c>
      <c r="D268" t="s">
        <v>12</v>
      </c>
      <c r="E268">
        <v>0.7792</v>
      </c>
      <c r="F268">
        <v>0.1288</v>
      </c>
      <c r="G268">
        <v>5.1752000000000002</v>
      </c>
      <c r="H268">
        <v>305</v>
      </c>
      <c r="I268">
        <v>462</v>
      </c>
      <c r="J268">
        <v>124.36</v>
      </c>
      <c r="K268">
        <v>1</v>
      </c>
    </row>
    <row r="269" spans="1:12" x14ac:dyDescent="0.25">
      <c r="A269" t="s">
        <v>14</v>
      </c>
      <c r="B269">
        <v>22</v>
      </c>
      <c r="C269">
        <v>4</v>
      </c>
      <c r="D269" t="s">
        <v>12</v>
      </c>
      <c r="E269">
        <v>0.68369999999999997</v>
      </c>
      <c r="F269">
        <v>7.3700000000000002E-2</v>
      </c>
      <c r="G269">
        <v>5.1752000000000002</v>
      </c>
      <c r="H269">
        <v>305</v>
      </c>
      <c r="I269">
        <v>462</v>
      </c>
      <c r="J269">
        <v>124.36</v>
      </c>
      <c r="K269">
        <v>1</v>
      </c>
    </row>
    <row r="270" spans="1:12" x14ac:dyDescent="0.25">
      <c r="A270" t="s">
        <v>14</v>
      </c>
      <c r="B270">
        <v>22</v>
      </c>
      <c r="C270">
        <v>5</v>
      </c>
      <c r="D270" t="s">
        <v>12</v>
      </c>
      <c r="E270">
        <v>0.6835</v>
      </c>
      <c r="F270">
        <v>0.1225</v>
      </c>
      <c r="G270">
        <v>5.1752000000000002</v>
      </c>
      <c r="H270">
        <v>305</v>
      </c>
      <c r="I270">
        <v>462</v>
      </c>
      <c r="J270">
        <v>124.36</v>
      </c>
      <c r="K270">
        <v>1</v>
      </c>
    </row>
    <row r="271" spans="1:12" x14ac:dyDescent="0.25">
      <c r="A271" t="s">
        <v>14</v>
      </c>
      <c r="B271">
        <v>22</v>
      </c>
      <c r="C271">
        <v>6</v>
      </c>
      <c r="D271" t="s">
        <v>12</v>
      </c>
      <c r="E271">
        <v>0.68030000000000002</v>
      </c>
      <c r="F271">
        <v>8.2900000000000001E-2</v>
      </c>
      <c r="G271">
        <v>5.1752000000000002</v>
      </c>
      <c r="H271">
        <v>305</v>
      </c>
      <c r="I271">
        <v>462</v>
      </c>
      <c r="J271">
        <v>124.36</v>
      </c>
      <c r="K271">
        <v>1</v>
      </c>
    </row>
    <row r="272" spans="1:12" x14ac:dyDescent="0.25">
      <c r="A272" t="s">
        <v>14</v>
      </c>
      <c r="B272">
        <v>22</v>
      </c>
      <c r="C272">
        <v>7</v>
      </c>
      <c r="D272" t="s">
        <v>12</v>
      </c>
      <c r="E272">
        <v>0.71970000000000001</v>
      </c>
      <c r="F272">
        <v>0.13020000000000001</v>
      </c>
      <c r="G272">
        <v>5.1752000000000002</v>
      </c>
      <c r="H272">
        <v>305</v>
      </c>
      <c r="I272">
        <v>462</v>
      </c>
      <c r="J272">
        <v>124.36</v>
      </c>
      <c r="K272">
        <v>1</v>
      </c>
    </row>
    <row r="273" spans="1:12" x14ac:dyDescent="0.25">
      <c r="A273" t="s">
        <v>14</v>
      </c>
      <c r="B273">
        <v>22</v>
      </c>
      <c r="C273">
        <v>8</v>
      </c>
      <c r="D273" t="s">
        <v>12</v>
      </c>
      <c r="E273">
        <v>0.77900000000000003</v>
      </c>
      <c r="F273">
        <v>0.18129999999999999</v>
      </c>
      <c r="G273">
        <v>5.1752000000000002</v>
      </c>
      <c r="H273">
        <v>305</v>
      </c>
      <c r="I273">
        <v>462</v>
      </c>
      <c r="J273">
        <v>124.36</v>
      </c>
      <c r="K273">
        <v>2</v>
      </c>
    </row>
    <row r="274" spans="1:12" x14ac:dyDescent="0.25">
      <c r="A274" t="s">
        <v>14</v>
      </c>
      <c r="B274">
        <v>22</v>
      </c>
      <c r="C274">
        <v>9</v>
      </c>
      <c r="D274" t="s">
        <v>12</v>
      </c>
      <c r="E274">
        <v>0.87709999999999999</v>
      </c>
      <c r="F274">
        <v>0.25059999999999999</v>
      </c>
      <c r="G274">
        <v>5.1752000000000002</v>
      </c>
      <c r="H274">
        <v>305</v>
      </c>
      <c r="I274">
        <v>462</v>
      </c>
      <c r="J274">
        <v>124.36</v>
      </c>
      <c r="K274">
        <v>2</v>
      </c>
    </row>
    <row r="275" spans="1:12" x14ac:dyDescent="0.25">
      <c r="A275" t="s">
        <v>14</v>
      </c>
      <c r="B275">
        <v>22</v>
      </c>
      <c r="C275">
        <v>10</v>
      </c>
      <c r="D275" t="s">
        <v>12</v>
      </c>
      <c r="E275">
        <v>0.89710000000000001</v>
      </c>
      <c r="F275">
        <v>0.32340000000000002</v>
      </c>
      <c r="G275">
        <v>5.1752000000000002</v>
      </c>
      <c r="H275">
        <v>305</v>
      </c>
      <c r="I275">
        <v>462</v>
      </c>
      <c r="J275">
        <v>124.36</v>
      </c>
      <c r="K275">
        <v>2</v>
      </c>
    </row>
    <row r="276" spans="1:12" x14ac:dyDescent="0.25">
      <c r="A276" t="s">
        <v>14</v>
      </c>
      <c r="B276">
        <v>22</v>
      </c>
      <c r="C276">
        <v>11</v>
      </c>
      <c r="D276" t="s">
        <v>12</v>
      </c>
      <c r="E276">
        <v>0.8407</v>
      </c>
      <c r="F276">
        <v>0.28270000000000001</v>
      </c>
      <c r="G276">
        <v>5.1752000000000002</v>
      </c>
      <c r="H276">
        <v>305</v>
      </c>
      <c r="I276">
        <v>462</v>
      </c>
      <c r="J276">
        <v>124.36</v>
      </c>
      <c r="K276">
        <v>2</v>
      </c>
    </row>
    <row r="277" spans="1:12" x14ac:dyDescent="0.25">
      <c r="A277" t="s">
        <v>14</v>
      </c>
      <c r="B277">
        <v>22</v>
      </c>
      <c r="C277">
        <v>12</v>
      </c>
      <c r="D277" t="s">
        <v>12</v>
      </c>
      <c r="E277">
        <v>0.88070000000000004</v>
      </c>
      <c r="F277">
        <v>0.34279999999999999</v>
      </c>
      <c r="G277">
        <v>5.1752000000000002</v>
      </c>
      <c r="H277">
        <v>305</v>
      </c>
      <c r="I277">
        <v>462</v>
      </c>
      <c r="J277">
        <v>124.36</v>
      </c>
      <c r="K277">
        <v>2</v>
      </c>
    </row>
    <row r="278" spans="1:12" x14ac:dyDescent="0.25">
      <c r="A278" t="s">
        <v>14</v>
      </c>
      <c r="B278">
        <v>22</v>
      </c>
      <c r="C278">
        <v>13</v>
      </c>
      <c r="D278" t="s">
        <v>12</v>
      </c>
      <c r="E278">
        <v>0.75800000000000001</v>
      </c>
      <c r="F278">
        <v>0.2266</v>
      </c>
      <c r="G278">
        <v>5.1752000000000002</v>
      </c>
      <c r="H278">
        <v>305</v>
      </c>
      <c r="I278">
        <v>462</v>
      </c>
      <c r="J278">
        <v>124.36</v>
      </c>
      <c r="K278">
        <v>2</v>
      </c>
    </row>
    <row r="279" spans="1:12" x14ac:dyDescent="0.25">
      <c r="A279" t="s">
        <v>14</v>
      </c>
      <c r="B279">
        <v>22</v>
      </c>
      <c r="C279">
        <v>14</v>
      </c>
      <c r="D279" t="s">
        <v>12</v>
      </c>
      <c r="E279">
        <v>0.74319999999999997</v>
      </c>
      <c r="F279">
        <v>0.26369999999999999</v>
      </c>
      <c r="G279">
        <v>5.1752000000000002</v>
      </c>
      <c r="H279">
        <v>305</v>
      </c>
      <c r="I279">
        <v>462</v>
      </c>
      <c r="J279">
        <v>124.36</v>
      </c>
      <c r="K279">
        <v>2</v>
      </c>
    </row>
    <row r="280" spans="1:12" x14ac:dyDescent="0.25">
      <c r="A280" t="s">
        <v>14</v>
      </c>
      <c r="B280">
        <v>22</v>
      </c>
      <c r="C280">
        <v>15</v>
      </c>
      <c r="D280" t="s">
        <v>12</v>
      </c>
      <c r="E280">
        <v>0.74039999999999995</v>
      </c>
      <c r="F280">
        <v>0.29110000000000003</v>
      </c>
      <c r="G280">
        <v>5.1752000000000002</v>
      </c>
      <c r="H280">
        <v>305</v>
      </c>
      <c r="I280">
        <v>462</v>
      </c>
      <c r="J280">
        <v>124.36</v>
      </c>
      <c r="K280">
        <v>2</v>
      </c>
    </row>
    <row r="281" spans="1:12" x14ac:dyDescent="0.25">
      <c r="A281" t="s">
        <v>14</v>
      </c>
      <c r="B281">
        <v>22</v>
      </c>
      <c r="C281">
        <v>16</v>
      </c>
      <c r="D281" t="s">
        <v>12</v>
      </c>
      <c r="E281">
        <v>0.7581</v>
      </c>
      <c r="F281">
        <v>0.27729999999999999</v>
      </c>
      <c r="G281">
        <v>5.1752000000000002</v>
      </c>
      <c r="H281">
        <v>305</v>
      </c>
      <c r="I281">
        <v>462</v>
      </c>
      <c r="J281">
        <v>124.36</v>
      </c>
      <c r="K281">
        <v>2</v>
      </c>
    </row>
    <row r="282" spans="1:12" x14ac:dyDescent="0.25">
      <c r="A282" t="s">
        <v>14</v>
      </c>
      <c r="B282">
        <v>25</v>
      </c>
      <c r="C282">
        <v>1</v>
      </c>
      <c r="D282" t="s">
        <v>12</v>
      </c>
      <c r="E282">
        <v>0.36149999999999999</v>
      </c>
      <c r="F282">
        <v>0</v>
      </c>
      <c r="G282">
        <v>5.9923000000000002</v>
      </c>
      <c r="H282">
        <v>331</v>
      </c>
      <c r="I282">
        <f t="shared" ref="I282:I301" si="1">460+38</f>
        <v>498</v>
      </c>
      <c r="J282">
        <v>110.34</v>
      </c>
      <c r="K282">
        <v>1</v>
      </c>
    </row>
    <row r="283" spans="1:12" x14ac:dyDescent="0.25">
      <c r="A283" t="s">
        <v>14</v>
      </c>
      <c r="B283">
        <v>25</v>
      </c>
      <c r="C283">
        <v>2</v>
      </c>
      <c r="D283" t="s">
        <v>12</v>
      </c>
      <c r="E283">
        <v>0.34949999999999998</v>
      </c>
      <c r="F283">
        <v>0</v>
      </c>
      <c r="G283">
        <v>5.9923000000000002</v>
      </c>
      <c r="H283">
        <v>331</v>
      </c>
      <c r="I283">
        <f t="shared" si="1"/>
        <v>498</v>
      </c>
      <c r="J283">
        <v>110.34</v>
      </c>
      <c r="K283">
        <v>1</v>
      </c>
      <c r="L283">
        <v>13.8</v>
      </c>
    </row>
    <row r="284" spans="1:12" x14ac:dyDescent="0.25">
      <c r="A284" t="s">
        <v>14</v>
      </c>
      <c r="B284">
        <v>25</v>
      </c>
      <c r="C284">
        <v>3</v>
      </c>
      <c r="D284" t="s">
        <v>12</v>
      </c>
      <c r="E284">
        <v>0.33750000000000002</v>
      </c>
      <c r="F284">
        <v>0</v>
      </c>
      <c r="G284">
        <v>5.9923000000000002</v>
      </c>
      <c r="H284">
        <v>331</v>
      </c>
      <c r="I284">
        <f t="shared" si="1"/>
        <v>498</v>
      </c>
      <c r="J284">
        <v>110.34</v>
      </c>
      <c r="K284">
        <v>1</v>
      </c>
      <c r="L284">
        <v>12.2</v>
      </c>
    </row>
    <row r="285" spans="1:12" x14ac:dyDescent="0.25">
      <c r="A285" t="s">
        <v>14</v>
      </c>
      <c r="B285">
        <v>25</v>
      </c>
      <c r="C285">
        <v>4</v>
      </c>
      <c r="D285" t="s">
        <v>12</v>
      </c>
      <c r="E285">
        <v>0.2858</v>
      </c>
      <c r="F285">
        <v>0</v>
      </c>
      <c r="G285">
        <v>5.9923000000000002</v>
      </c>
      <c r="H285">
        <v>331</v>
      </c>
      <c r="I285">
        <f t="shared" si="1"/>
        <v>498</v>
      </c>
      <c r="J285">
        <v>110.34</v>
      </c>
      <c r="K285">
        <v>1</v>
      </c>
      <c r="L285">
        <v>13.2</v>
      </c>
    </row>
    <row r="286" spans="1:12" x14ac:dyDescent="0.25">
      <c r="A286" t="s">
        <v>14</v>
      </c>
      <c r="B286">
        <v>25</v>
      </c>
      <c r="C286">
        <v>5</v>
      </c>
      <c r="D286" t="s">
        <v>12</v>
      </c>
      <c r="E286">
        <v>0.33</v>
      </c>
      <c r="F286">
        <v>0</v>
      </c>
      <c r="G286">
        <v>5.9923000000000002</v>
      </c>
      <c r="H286">
        <v>331</v>
      </c>
      <c r="I286">
        <f t="shared" si="1"/>
        <v>498</v>
      </c>
      <c r="J286">
        <v>110.34</v>
      </c>
      <c r="K286">
        <v>1</v>
      </c>
      <c r="L286">
        <v>15.4</v>
      </c>
    </row>
    <row r="287" spans="1:12" x14ac:dyDescent="0.25">
      <c r="A287" t="s">
        <v>14</v>
      </c>
      <c r="B287">
        <v>25</v>
      </c>
      <c r="C287">
        <v>6</v>
      </c>
      <c r="D287" t="s">
        <v>12</v>
      </c>
      <c r="E287">
        <v>0.32140000000000002</v>
      </c>
      <c r="F287">
        <v>0</v>
      </c>
      <c r="G287">
        <v>5.9923000000000002</v>
      </c>
      <c r="H287">
        <v>331</v>
      </c>
      <c r="I287">
        <f t="shared" si="1"/>
        <v>498</v>
      </c>
      <c r="J287">
        <v>110.34</v>
      </c>
      <c r="K287">
        <v>1</v>
      </c>
    </row>
    <row r="288" spans="1:12" x14ac:dyDescent="0.25">
      <c r="A288" t="s">
        <v>14</v>
      </c>
      <c r="B288">
        <v>25</v>
      </c>
      <c r="C288">
        <v>7</v>
      </c>
      <c r="D288" t="s">
        <v>12</v>
      </c>
      <c r="E288">
        <v>0.21279999999999999</v>
      </c>
      <c r="F288">
        <v>0</v>
      </c>
      <c r="G288">
        <v>5.9923000000000002</v>
      </c>
      <c r="H288">
        <v>331</v>
      </c>
      <c r="I288">
        <f t="shared" si="1"/>
        <v>498</v>
      </c>
      <c r="J288">
        <v>110.34</v>
      </c>
      <c r="K288">
        <v>1</v>
      </c>
    </row>
    <row r="289" spans="1:12" x14ac:dyDescent="0.25">
      <c r="A289" t="s">
        <v>14</v>
      </c>
      <c r="B289">
        <v>25</v>
      </c>
      <c r="C289">
        <v>8</v>
      </c>
      <c r="D289" t="s">
        <v>12</v>
      </c>
      <c r="E289">
        <v>0.31109999999999999</v>
      </c>
      <c r="F289">
        <v>0</v>
      </c>
      <c r="G289">
        <v>5.9923000000000002</v>
      </c>
      <c r="H289">
        <v>331</v>
      </c>
      <c r="I289">
        <f t="shared" si="1"/>
        <v>498</v>
      </c>
      <c r="J289">
        <v>110.34</v>
      </c>
      <c r="K289">
        <v>1</v>
      </c>
    </row>
    <row r="290" spans="1:12" x14ac:dyDescent="0.25">
      <c r="A290" t="s">
        <v>14</v>
      </c>
      <c r="B290">
        <v>25</v>
      </c>
      <c r="C290">
        <v>9</v>
      </c>
      <c r="D290" t="s">
        <v>11</v>
      </c>
      <c r="E290">
        <v>0.30930000000000002</v>
      </c>
      <c r="F290">
        <v>0</v>
      </c>
      <c r="G290">
        <v>5.9923000000000002</v>
      </c>
      <c r="H290">
        <v>331</v>
      </c>
      <c r="I290">
        <f t="shared" si="1"/>
        <v>498</v>
      </c>
      <c r="J290">
        <v>110.34</v>
      </c>
      <c r="K290">
        <v>1</v>
      </c>
      <c r="L290">
        <v>16.2</v>
      </c>
    </row>
    <row r="291" spans="1:12" x14ac:dyDescent="0.25">
      <c r="A291" t="s">
        <v>14</v>
      </c>
      <c r="B291">
        <v>25</v>
      </c>
      <c r="C291">
        <v>10</v>
      </c>
      <c r="D291" t="s">
        <v>12</v>
      </c>
      <c r="E291">
        <v>0.3155</v>
      </c>
      <c r="F291">
        <v>0</v>
      </c>
      <c r="G291">
        <v>5.9923000000000002</v>
      </c>
      <c r="H291">
        <v>331</v>
      </c>
      <c r="I291">
        <f t="shared" si="1"/>
        <v>498</v>
      </c>
      <c r="J291">
        <v>110.34</v>
      </c>
      <c r="K291">
        <v>2</v>
      </c>
      <c r="L291">
        <v>16.2</v>
      </c>
    </row>
    <row r="292" spans="1:12" x14ac:dyDescent="0.25">
      <c r="A292" t="s">
        <v>14</v>
      </c>
      <c r="B292">
        <v>25</v>
      </c>
      <c r="C292">
        <v>11</v>
      </c>
      <c r="D292" t="s">
        <v>11</v>
      </c>
      <c r="E292">
        <v>0.27989999999999998</v>
      </c>
      <c r="F292">
        <v>0</v>
      </c>
      <c r="G292">
        <v>5.9923000000000002</v>
      </c>
      <c r="H292">
        <v>331</v>
      </c>
      <c r="I292">
        <f t="shared" si="1"/>
        <v>498</v>
      </c>
      <c r="J292">
        <v>110.34</v>
      </c>
      <c r="K292">
        <v>2</v>
      </c>
      <c r="L292">
        <v>15.6</v>
      </c>
    </row>
    <row r="293" spans="1:12" x14ac:dyDescent="0.25">
      <c r="A293" t="s">
        <v>14</v>
      </c>
      <c r="B293">
        <v>25</v>
      </c>
      <c r="C293">
        <v>12</v>
      </c>
      <c r="D293" t="s">
        <v>11</v>
      </c>
      <c r="E293">
        <v>0.73270000000000002</v>
      </c>
      <c r="F293">
        <v>0.12330000000000001</v>
      </c>
      <c r="G293">
        <v>5.9923000000000002</v>
      </c>
      <c r="H293">
        <v>331</v>
      </c>
      <c r="I293">
        <f t="shared" si="1"/>
        <v>498</v>
      </c>
      <c r="J293">
        <v>110.34</v>
      </c>
      <c r="K293">
        <v>2</v>
      </c>
      <c r="L293">
        <v>17.2</v>
      </c>
    </row>
    <row r="294" spans="1:12" x14ac:dyDescent="0.25">
      <c r="A294" t="s">
        <v>14</v>
      </c>
      <c r="B294">
        <v>25</v>
      </c>
      <c r="C294">
        <v>13</v>
      </c>
      <c r="D294" t="s">
        <v>11</v>
      </c>
      <c r="E294">
        <v>0.27779999999999999</v>
      </c>
      <c r="F294">
        <v>0</v>
      </c>
      <c r="G294">
        <v>5.9923000000000002</v>
      </c>
      <c r="H294">
        <v>331</v>
      </c>
      <c r="I294">
        <f t="shared" si="1"/>
        <v>498</v>
      </c>
      <c r="J294">
        <v>110.34</v>
      </c>
      <c r="K294">
        <v>2</v>
      </c>
      <c r="L294">
        <v>16.8</v>
      </c>
    </row>
    <row r="295" spans="1:12" x14ac:dyDescent="0.25">
      <c r="A295" t="s">
        <v>14</v>
      </c>
      <c r="B295">
        <v>25</v>
      </c>
      <c r="C295">
        <v>14</v>
      </c>
      <c r="D295" t="s">
        <v>12</v>
      </c>
      <c r="E295">
        <v>0.27900000000000003</v>
      </c>
      <c r="F295">
        <v>0</v>
      </c>
      <c r="G295">
        <v>5.9923000000000002</v>
      </c>
      <c r="H295">
        <v>331</v>
      </c>
      <c r="I295">
        <f t="shared" si="1"/>
        <v>498</v>
      </c>
      <c r="J295">
        <v>110.34</v>
      </c>
      <c r="K295">
        <v>2</v>
      </c>
    </row>
    <row r="296" spans="1:12" x14ac:dyDescent="0.25">
      <c r="A296" t="s">
        <v>14</v>
      </c>
      <c r="B296">
        <v>25</v>
      </c>
      <c r="C296">
        <v>15</v>
      </c>
      <c r="D296" t="s">
        <v>11</v>
      </c>
      <c r="E296">
        <v>0.26490000000000002</v>
      </c>
      <c r="F296">
        <v>0</v>
      </c>
      <c r="G296">
        <v>5.9923000000000002</v>
      </c>
      <c r="H296">
        <v>331</v>
      </c>
      <c r="I296">
        <f t="shared" si="1"/>
        <v>498</v>
      </c>
      <c r="J296">
        <v>110.34</v>
      </c>
      <c r="K296">
        <v>2</v>
      </c>
      <c r="L296">
        <v>17.2</v>
      </c>
    </row>
    <row r="297" spans="1:12" x14ac:dyDescent="0.25">
      <c r="A297" t="s">
        <v>14</v>
      </c>
      <c r="B297">
        <v>25</v>
      </c>
      <c r="C297">
        <v>16</v>
      </c>
      <c r="D297" t="s">
        <v>11</v>
      </c>
      <c r="E297">
        <v>0.25119999999999998</v>
      </c>
      <c r="F297">
        <v>0</v>
      </c>
      <c r="G297">
        <v>5.9923000000000002</v>
      </c>
      <c r="H297">
        <v>331</v>
      </c>
      <c r="I297">
        <f t="shared" si="1"/>
        <v>498</v>
      </c>
      <c r="J297">
        <v>110.34</v>
      </c>
      <c r="K297">
        <v>2</v>
      </c>
      <c r="L297">
        <v>16.399999999999999</v>
      </c>
    </row>
    <row r="298" spans="1:12" x14ac:dyDescent="0.25">
      <c r="A298" t="s">
        <v>14</v>
      </c>
      <c r="B298">
        <v>25</v>
      </c>
      <c r="C298">
        <v>17</v>
      </c>
      <c r="D298" t="s">
        <v>12</v>
      </c>
      <c r="E298">
        <v>0.26390000000000002</v>
      </c>
      <c r="F298">
        <v>0</v>
      </c>
      <c r="G298">
        <v>5.9923000000000002</v>
      </c>
      <c r="H298">
        <v>331</v>
      </c>
      <c r="I298">
        <f t="shared" si="1"/>
        <v>498</v>
      </c>
      <c r="J298">
        <v>110.34</v>
      </c>
      <c r="K298">
        <v>2</v>
      </c>
    </row>
    <row r="299" spans="1:12" x14ac:dyDescent="0.25">
      <c r="A299" t="s">
        <v>14</v>
      </c>
      <c r="B299">
        <v>25</v>
      </c>
      <c r="C299">
        <v>18</v>
      </c>
      <c r="D299" t="s">
        <v>12</v>
      </c>
      <c r="E299">
        <v>0.309</v>
      </c>
      <c r="F299">
        <v>0</v>
      </c>
      <c r="G299">
        <v>5.9923000000000002</v>
      </c>
      <c r="H299">
        <v>331</v>
      </c>
      <c r="I299">
        <f t="shared" si="1"/>
        <v>498</v>
      </c>
      <c r="J299">
        <v>110.34</v>
      </c>
      <c r="K299">
        <v>2</v>
      </c>
    </row>
    <row r="300" spans="1:12" x14ac:dyDescent="0.25">
      <c r="A300" t="s">
        <v>14</v>
      </c>
      <c r="B300">
        <v>25</v>
      </c>
      <c r="C300">
        <v>19</v>
      </c>
      <c r="D300" t="s">
        <v>12</v>
      </c>
      <c r="E300">
        <v>0.28549999999999998</v>
      </c>
      <c r="F300">
        <v>0</v>
      </c>
      <c r="G300">
        <v>5.9923000000000002</v>
      </c>
      <c r="H300">
        <v>331</v>
      </c>
      <c r="I300">
        <f t="shared" si="1"/>
        <v>498</v>
      </c>
      <c r="J300">
        <v>110.34</v>
      </c>
      <c r="K300">
        <v>2</v>
      </c>
    </row>
    <row r="301" spans="1:12" x14ac:dyDescent="0.25">
      <c r="A301" t="s">
        <v>14</v>
      </c>
      <c r="B301">
        <v>25</v>
      </c>
      <c r="C301">
        <v>20</v>
      </c>
      <c r="D301" t="s">
        <v>12</v>
      </c>
      <c r="E301">
        <v>0.27189999999999998</v>
      </c>
      <c r="F301">
        <v>0</v>
      </c>
      <c r="G301">
        <v>5.9923000000000002</v>
      </c>
      <c r="H301">
        <v>331</v>
      </c>
      <c r="I301">
        <f t="shared" si="1"/>
        <v>498</v>
      </c>
      <c r="J301">
        <v>110.34</v>
      </c>
      <c r="K301">
        <v>2</v>
      </c>
      <c r="L301">
        <v>13.4</v>
      </c>
    </row>
    <row r="302" spans="1:12" x14ac:dyDescent="0.25">
      <c r="A302" t="s">
        <v>14</v>
      </c>
      <c r="B302">
        <v>34</v>
      </c>
      <c r="C302">
        <v>1</v>
      </c>
      <c r="D302" t="s">
        <v>12</v>
      </c>
      <c r="E302">
        <v>0.255</v>
      </c>
      <c r="F302">
        <v>0</v>
      </c>
      <c r="G302">
        <v>4.17</v>
      </c>
      <c r="H302">
        <v>298</v>
      </c>
      <c r="I302">
        <v>351</v>
      </c>
      <c r="J302">
        <v>138.66999999999999</v>
      </c>
      <c r="K302">
        <v>1</v>
      </c>
    </row>
    <row r="303" spans="1:12" x14ac:dyDescent="0.25">
      <c r="A303" t="s">
        <v>14</v>
      </c>
      <c r="B303">
        <v>34</v>
      </c>
      <c r="C303">
        <v>2</v>
      </c>
      <c r="D303" t="s">
        <v>12</v>
      </c>
      <c r="E303">
        <v>0.2752</v>
      </c>
      <c r="F303">
        <v>0</v>
      </c>
      <c r="G303">
        <v>4.17</v>
      </c>
      <c r="H303">
        <v>298</v>
      </c>
      <c r="I303">
        <v>351</v>
      </c>
      <c r="J303">
        <v>138.66999999999999</v>
      </c>
      <c r="K303">
        <v>1</v>
      </c>
    </row>
    <row r="304" spans="1:12" x14ac:dyDescent="0.25">
      <c r="A304" t="s">
        <v>14</v>
      </c>
      <c r="B304">
        <v>34</v>
      </c>
      <c r="C304">
        <v>3</v>
      </c>
      <c r="D304" t="s">
        <v>11</v>
      </c>
      <c r="E304">
        <v>0.50409999999999999</v>
      </c>
      <c r="F304">
        <v>4.6199999999999998E-2</v>
      </c>
      <c r="G304">
        <v>4.17</v>
      </c>
      <c r="H304">
        <v>298</v>
      </c>
      <c r="I304">
        <v>351</v>
      </c>
      <c r="J304">
        <v>138.66999999999999</v>
      </c>
      <c r="K304">
        <v>1</v>
      </c>
      <c r="L304">
        <v>14</v>
      </c>
    </row>
    <row r="305" spans="1:12" x14ac:dyDescent="0.25">
      <c r="A305" t="s">
        <v>14</v>
      </c>
      <c r="B305">
        <v>34</v>
      </c>
      <c r="C305">
        <v>4</v>
      </c>
      <c r="D305" t="s">
        <v>11</v>
      </c>
      <c r="E305">
        <v>0.7056</v>
      </c>
      <c r="F305">
        <v>0.23910000000000001</v>
      </c>
      <c r="G305">
        <v>4.17</v>
      </c>
      <c r="H305">
        <v>298</v>
      </c>
      <c r="I305">
        <v>351</v>
      </c>
      <c r="J305">
        <v>138.66999999999999</v>
      </c>
      <c r="K305">
        <v>2</v>
      </c>
      <c r="L305">
        <v>13.8</v>
      </c>
    </row>
    <row r="306" spans="1:12" x14ac:dyDescent="0.25">
      <c r="A306" t="s">
        <v>14</v>
      </c>
      <c r="B306">
        <v>34</v>
      </c>
      <c r="C306">
        <v>5</v>
      </c>
      <c r="D306" t="s">
        <v>11</v>
      </c>
      <c r="E306">
        <v>0.25790000000000002</v>
      </c>
      <c r="F306">
        <v>0</v>
      </c>
      <c r="G306">
        <v>4.17</v>
      </c>
      <c r="H306">
        <v>298</v>
      </c>
      <c r="I306">
        <v>351</v>
      </c>
      <c r="J306">
        <v>138.66999999999999</v>
      </c>
      <c r="K306">
        <v>2</v>
      </c>
      <c r="L306">
        <v>15</v>
      </c>
    </row>
    <row r="307" spans="1:12" x14ac:dyDescent="0.25">
      <c r="A307" t="s">
        <v>14</v>
      </c>
      <c r="B307">
        <v>34</v>
      </c>
      <c r="C307">
        <v>6</v>
      </c>
      <c r="D307" t="s">
        <v>12</v>
      </c>
      <c r="E307">
        <v>0.24829999999999999</v>
      </c>
      <c r="F307">
        <v>0</v>
      </c>
      <c r="G307">
        <v>4.17</v>
      </c>
      <c r="H307">
        <v>298</v>
      </c>
      <c r="I307">
        <v>351</v>
      </c>
      <c r="J307">
        <v>138.66999999999999</v>
      </c>
      <c r="K307">
        <v>2</v>
      </c>
      <c r="L307">
        <v>16.600000000000001</v>
      </c>
    </row>
    <row r="308" spans="1:12" x14ac:dyDescent="0.25">
      <c r="A308" t="s">
        <v>14</v>
      </c>
      <c r="B308">
        <v>34</v>
      </c>
      <c r="C308">
        <v>7</v>
      </c>
      <c r="D308" t="s">
        <v>11</v>
      </c>
      <c r="E308">
        <v>0.2525</v>
      </c>
      <c r="F308">
        <v>0</v>
      </c>
      <c r="G308">
        <v>4.17</v>
      </c>
      <c r="H308">
        <v>298</v>
      </c>
      <c r="I308">
        <v>351</v>
      </c>
      <c r="J308">
        <v>138.66999999999999</v>
      </c>
      <c r="K308">
        <v>2</v>
      </c>
      <c r="L308">
        <v>16.8</v>
      </c>
    </row>
    <row r="309" spans="1:12" x14ac:dyDescent="0.25">
      <c r="A309" t="s">
        <v>14</v>
      </c>
      <c r="B309">
        <v>34</v>
      </c>
      <c r="C309">
        <v>8</v>
      </c>
      <c r="D309" t="s">
        <v>12</v>
      </c>
      <c r="E309">
        <v>0.24229999999999999</v>
      </c>
      <c r="F309">
        <v>0</v>
      </c>
      <c r="G309">
        <v>4.17</v>
      </c>
      <c r="H309">
        <v>298</v>
      </c>
      <c r="I309">
        <v>351</v>
      </c>
      <c r="J309">
        <v>138.66999999999999</v>
      </c>
      <c r="K309">
        <v>2</v>
      </c>
    </row>
    <row r="310" spans="1:12" x14ac:dyDescent="0.25">
      <c r="A310" t="s">
        <v>14</v>
      </c>
      <c r="B310">
        <v>35</v>
      </c>
      <c r="C310">
        <v>1</v>
      </c>
      <c r="D310" t="s">
        <v>12</v>
      </c>
      <c r="E310">
        <v>0.3654</v>
      </c>
      <c r="F310">
        <v>0</v>
      </c>
      <c r="G310">
        <v>6.0683999999999996</v>
      </c>
      <c r="H310">
        <v>297</v>
      </c>
      <c r="I310">
        <v>498</v>
      </c>
      <c r="J310">
        <v>112.62</v>
      </c>
      <c r="K310">
        <v>1</v>
      </c>
    </row>
    <row r="311" spans="1:12" x14ac:dyDescent="0.25">
      <c r="A311" t="s">
        <v>14</v>
      </c>
      <c r="B311">
        <v>35</v>
      </c>
      <c r="C311">
        <v>2</v>
      </c>
      <c r="D311" t="s">
        <v>12</v>
      </c>
      <c r="E311">
        <v>0.63019999999999998</v>
      </c>
      <c r="F311">
        <v>1.66E-2</v>
      </c>
      <c r="G311">
        <v>6.0683999999999996</v>
      </c>
      <c r="H311">
        <v>297</v>
      </c>
      <c r="I311">
        <v>498</v>
      </c>
      <c r="J311">
        <v>112.62</v>
      </c>
      <c r="K311">
        <v>1</v>
      </c>
    </row>
    <row r="312" spans="1:12" x14ac:dyDescent="0.25">
      <c r="A312" t="s">
        <v>14</v>
      </c>
      <c r="B312">
        <v>35</v>
      </c>
      <c r="C312">
        <v>3</v>
      </c>
      <c r="D312" t="s">
        <v>12</v>
      </c>
      <c r="E312">
        <v>0.42570000000000002</v>
      </c>
      <c r="F312">
        <v>0</v>
      </c>
      <c r="G312">
        <v>6.0683999999999996</v>
      </c>
      <c r="H312">
        <v>297</v>
      </c>
      <c r="I312">
        <v>498</v>
      </c>
      <c r="J312">
        <v>112.62</v>
      </c>
      <c r="K312">
        <v>1</v>
      </c>
    </row>
    <row r="313" spans="1:12" x14ac:dyDescent="0.25">
      <c r="A313" t="s">
        <v>14</v>
      </c>
      <c r="B313">
        <v>35</v>
      </c>
      <c r="C313">
        <v>4</v>
      </c>
      <c r="D313" t="s">
        <v>12</v>
      </c>
      <c r="E313">
        <v>0.75660000000000005</v>
      </c>
      <c r="F313">
        <v>8.2900000000000001E-2</v>
      </c>
      <c r="G313">
        <v>6.0683999999999996</v>
      </c>
      <c r="H313">
        <v>297</v>
      </c>
      <c r="I313">
        <v>498</v>
      </c>
      <c r="J313">
        <v>112.62</v>
      </c>
      <c r="K313">
        <v>1</v>
      </c>
    </row>
    <row r="314" spans="1:12" x14ac:dyDescent="0.25">
      <c r="A314" t="s">
        <v>14</v>
      </c>
      <c r="B314">
        <v>35</v>
      </c>
      <c r="C314">
        <v>5</v>
      </c>
      <c r="D314" t="s">
        <v>12</v>
      </c>
      <c r="E314">
        <v>0.5806</v>
      </c>
      <c r="F314">
        <v>3.1899999999999998E-2</v>
      </c>
      <c r="G314">
        <v>6.0683999999999996</v>
      </c>
      <c r="H314">
        <v>297</v>
      </c>
      <c r="I314">
        <v>498</v>
      </c>
      <c r="J314">
        <v>112.62</v>
      </c>
      <c r="K314">
        <v>1</v>
      </c>
    </row>
    <row r="315" spans="1:12" x14ac:dyDescent="0.25">
      <c r="A315" t="s">
        <v>14</v>
      </c>
      <c r="B315">
        <v>35</v>
      </c>
      <c r="C315">
        <v>6</v>
      </c>
      <c r="D315" t="s">
        <v>12</v>
      </c>
      <c r="E315">
        <v>0.85250000000000004</v>
      </c>
      <c r="F315">
        <v>0.1623</v>
      </c>
      <c r="G315">
        <v>6.0683999999999996</v>
      </c>
      <c r="H315">
        <v>297</v>
      </c>
      <c r="I315">
        <v>498</v>
      </c>
      <c r="J315">
        <v>112.62</v>
      </c>
      <c r="K315">
        <v>1</v>
      </c>
    </row>
    <row r="316" spans="1:12" x14ac:dyDescent="0.25">
      <c r="A316" t="s">
        <v>14</v>
      </c>
      <c r="B316">
        <v>35</v>
      </c>
      <c r="C316">
        <v>7</v>
      </c>
      <c r="D316" t="s">
        <v>12</v>
      </c>
      <c r="E316">
        <v>0.35010000000000002</v>
      </c>
      <c r="F316">
        <v>0</v>
      </c>
      <c r="G316">
        <v>6.0683999999999996</v>
      </c>
      <c r="H316">
        <v>297</v>
      </c>
      <c r="I316">
        <v>498</v>
      </c>
      <c r="J316">
        <v>112.62</v>
      </c>
      <c r="K316">
        <v>1</v>
      </c>
    </row>
    <row r="317" spans="1:12" x14ac:dyDescent="0.25">
      <c r="A317" t="s">
        <v>14</v>
      </c>
      <c r="B317">
        <v>35</v>
      </c>
      <c r="C317">
        <v>8</v>
      </c>
      <c r="D317" t="s">
        <v>12</v>
      </c>
      <c r="E317">
        <v>0.85119999999999996</v>
      </c>
      <c r="F317">
        <v>0.19500000000000001</v>
      </c>
      <c r="G317">
        <v>6.0683999999999996</v>
      </c>
      <c r="H317">
        <v>297</v>
      </c>
      <c r="I317">
        <v>498</v>
      </c>
      <c r="J317">
        <v>112.62</v>
      </c>
      <c r="K317">
        <v>1</v>
      </c>
    </row>
    <row r="318" spans="1:12" x14ac:dyDescent="0.25">
      <c r="A318" t="s">
        <v>14</v>
      </c>
      <c r="B318">
        <v>35</v>
      </c>
      <c r="C318">
        <v>9</v>
      </c>
      <c r="D318" t="s">
        <v>12</v>
      </c>
      <c r="E318">
        <v>0.33019999999999999</v>
      </c>
      <c r="F318">
        <v>0</v>
      </c>
      <c r="G318">
        <v>6.0683999999999996</v>
      </c>
      <c r="H318">
        <v>297</v>
      </c>
      <c r="I318">
        <v>498</v>
      </c>
      <c r="J318">
        <v>112.62</v>
      </c>
      <c r="K318">
        <v>2</v>
      </c>
    </row>
    <row r="319" spans="1:12" x14ac:dyDescent="0.25">
      <c r="A319" t="s">
        <v>14</v>
      </c>
      <c r="B319">
        <v>35</v>
      </c>
      <c r="C319">
        <v>10</v>
      </c>
      <c r="D319" t="s">
        <v>12</v>
      </c>
      <c r="E319">
        <v>0.87719999999999998</v>
      </c>
      <c r="F319">
        <v>0.23200000000000001</v>
      </c>
      <c r="G319">
        <v>6.0683999999999996</v>
      </c>
      <c r="H319">
        <v>297</v>
      </c>
      <c r="I319">
        <v>498</v>
      </c>
      <c r="J319">
        <v>112.62</v>
      </c>
      <c r="K319">
        <v>2</v>
      </c>
    </row>
    <row r="320" spans="1:12" x14ac:dyDescent="0.25">
      <c r="A320" t="s">
        <v>14</v>
      </c>
      <c r="B320">
        <v>35</v>
      </c>
      <c r="C320">
        <v>11</v>
      </c>
      <c r="D320" t="s">
        <v>12</v>
      </c>
      <c r="E320">
        <v>0.30270000000000002</v>
      </c>
      <c r="F320">
        <v>0</v>
      </c>
      <c r="G320">
        <v>6.0683999999999996</v>
      </c>
      <c r="H320">
        <v>297</v>
      </c>
      <c r="I320">
        <v>498</v>
      </c>
      <c r="J320">
        <v>112.62</v>
      </c>
      <c r="K320">
        <v>2</v>
      </c>
    </row>
    <row r="321" spans="1:11" x14ac:dyDescent="0.25">
      <c r="A321" t="s">
        <v>14</v>
      </c>
      <c r="B321">
        <v>35</v>
      </c>
      <c r="C321">
        <v>12</v>
      </c>
      <c r="D321" t="s">
        <v>12</v>
      </c>
      <c r="E321">
        <v>0.75739999999999996</v>
      </c>
      <c r="F321">
        <v>0.17549999999999999</v>
      </c>
      <c r="G321">
        <v>6.0683999999999996</v>
      </c>
      <c r="H321">
        <v>297</v>
      </c>
      <c r="I321">
        <v>498</v>
      </c>
      <c r="J321">
        <v>112.62</v>
      </c>
      <c r="K321">
        <v>2</v>
      </c>
    </row>
    <row r="322" spans="1:11" x14ac:dyDescent="0.25">
      <c r="A322" t="s">
        <v>14</v>
      </c>
      <c r="B322">
        <v>35</v>
      </c>
      <c r="C322">
        <v>13</v>
      </c>
      <c r="D322" t="s">
        <v>12</v>
      </c>
      <c r="E322">
        <v>0.27079999999999999</v>
      </c>
      <c r="F322">
        <v>0</v>
      </c>
      <c r="G322">
        <v>6.0683999999999996</v>
      </c>
      <c r="H322">
        <v>297</v>
      </c>
      <c r="I322">
        <v>498</v>
      </c>
      <c r="J322">
        <v>112.62</v>
      </c>
      <c r="K322">
        <v>2</v>
      </c>
    </row>
    <row r="323" spans="1:11" x14ac:dyDescent="0.25">
      <c r="A323" t="s">
        <v>14</v>
      </c>
      <c r="B323">
        <v>35</v>
      </c>
      <c r="C323">
        <v>14</v>
      </c>
      <c r="D323" t="s">
        <v>12</v>
      </c>
      <c r="E323">
        <v>0.89080000000000004</v>
      </c>
      <c r="F323">
        <v>0.34570000000000001</v>
      </c>
      <c r="G323">
        <v>6.0683999999999996</v>
      </c>
      <c r="H323">
        <v>297</v>
      </c>
      <c r="I323">
        <v>498</v>
      </c>
      <c r="J323">
        <v>112.62</v>
      </c>
      <c r="K323">
        <v>2</v>
      </c>
    </row>
    <row r="324" spans="1:11" x14ac:dyDescent="0.25">
      <c r="A324" t="s">
        <v>14</v>
      </c>
      <c r="B324">
        <v>35</v>
      </c>
      <c r="C324">
        <v>15</v>
      </c>
      <c r="D324" t="s">
        <v>12</v>
      </c>
      <c r="E324">
        <v>0.25650000000000001</v>
      </c>
      <c r="F324">
        <v>0</v>
      </c>
      <c r="G324">
        <v>6.0683999999999996</v>
      </c>
      <c r="H324">
        <v>297</v>
      </c>
      <c r="I324">
        <v>498</v>
      </c>
      <c r="J324">
        <v>112.62</v>
      </c>
      <c r="K324">
        <v>2</v>
      </c>
    </row>
    <row r="325" spans="1:11" x14ac:dyDescent="0.25">
      <c r="A325" t="s">
        <v>14</v>
      </c>
      <c r="B325">
        <v>35</v>
      </c>
      <c r="C325">
        <v>16</v>
      </c>
      <c r="D325" t="s">
        <v>12</v>
      </c>
      <c r="E325">
        <v>0.6835</v>
      </c>
      <c r="F325">
        <v>0.13189999999999999</v>
      </c>
      <c r="G325">
        <v>6.0683999999999996</v>
      </c>
      <c r="H325">
        <v>297</v>
      </c>
      <c r="I325">
        <v>498</v>
      </c>
      <c r="J325">
        <v>112.62</v>
      </c>
      <c r="K325">
        <v>2</v>
      </c>
    </row>
    <row r="326" spans="1:11" x14ac:dyDescent="0.25">
      <c r="A326" t="s">
        <v>14</v>
      </c>
      <c r="B326">
        <v>35</v>
      </c>
      <c r="C326">
        <v>17</v>
      </c>
      <c r="D326" t="s">
        <v>12</v>
      </c>
      <c r="E326">
        <v>0.14749999999999999</v>
      </c>
      <c r="F326">
        <v>0</v>
      </c>
      <c r="G326">
        <v>6.0683999999999996</v>
      </c>
      <c r="H326">
        <v>297</v>
      </c>
      <c r="I326">
        <v>498</v>
      </c>
      <c r="J326">
        <v>112.62</v>
      </c>
      <c r="K326">
        <v>2</v>
      </c>
    </row>
    <row r="327" spans="1:11" x14ac:dyDescent="0.25">
      <c r="A327" t="s">
        <v>14</v>
      </c>
      <c r="B327">
        <v>35</v>
      </c>
      <c r="C327">
        <v>18</v>
      </c>
      <c r="D327" t="s">
        <v>12</v>
      </c>
      <c r="E327">
        <v>0.20799999999999999</v>
      </c>
      <c r="F327">
        <v>0</v>
      </c>
      <c r="G327">
        <v>6.0683999999999996</v>
      </c>
      <c r="H327">
        <v>297</v>
      </c>
      <c r="I327">
        <v>498</v>
      </c>
      <c r="J327">
        <v>112.62</v>
      </c>
      <c r="K327">
        <v>2</v>
      </c>
    </row>
    <row r="328" spans="1:11" x14ac:dyDescent="0.25">
      <c r="A328" t="s">
        <v>14</v>
      </c>
      <c r="B328">
        <v>36</v>
      </c>
      <c r="C328">
        <v>1</v>
      </c>
      <c r="D328" t="s">
        <v>12</v>
      </c>
      <c r="E328">
        <v>8.1299999999999997E-2</v>
      </c>
      <c r="F328">
        <v>0</v>
      </c>
      <c r="G328">
        <v>5.0585000000000004</v>
      </c>
      <c r="H328">
        <v>307</v>
      </c>
      <c r="I328">
        <v>416</v>
      </c>
      <c r="J328">
        <v>117.06</v>
      </c>
      <c r="K328">
        <v>1</v>
      </c>
    </row>
    <row r="329" spans="1:11" x14ac:dyDescent="0.25">
      <c r="A329" t="s">
        <v>14</v>
      </c>
      <c r="B329">
        <v>36</v>
      </c>
      <c r="C329">
        <v>2</v>
      </c>
      <c r="D329" t="s">
        <v>12</v>
      </c>
      <c r="E329">
        <v>0.1163</v>
      </c>
      <c r="F329">
        <v>0</v>
      </c>
      <c r="G329">
        <v>5.0585000000000004</v>
      </c>
      <c r="H329">
        <v>307</v>
      </c>
      <c r="I329">
        <v>416</v>
      </c>
      <c r="J329">
        <v>117.06</v>
      </c>
      <c r="K329">
        <v>1</v>
      </c>
    </row>
    <row r="330" spans="1:11" x14ac:dyDescent="0.25">
      <c r="A330" t="s">
        <v>14</v>
      </c>
      <c r="B330">
        <v>36</v>
      </c>
      <c r="C330">
        <v>3</v>
      </c>
      <c r="D330" t="s">
        <v>12</v>
      </c>
      <c r="E330">
        <v>0.12180000000000001</v>
      </c>
      <c r="F330">
        <v>0</v>
      </c>
      <c r="G330">
        <v>5.0585000000000004</v>
      </c>
      <c r="H330">
        <v>307</v>
      </c>
      <c r="I330">
        <v>416</v>
      </c>
      <c r="J330">
        <v>117.06</v>
      </c>
      <c r="K330">
        <v>1</v>
      </c>
    </row>
    <row r="331" spans="1:11" x14ac:dyDescent="0.25">
      <c r="A331" t="s">
        <v>14</v>
      </c>
      <c r="B331">
        <v>36</v>
      </c>
      <c r="C331">
        <v>4</v>
      </c>
      <c r="D331" t="s">
        <v>12</v>
      </c>
      <c r="E331">
        <v>0.1278</v>
      </c>
      <c r="F331">
        <v>0</v>
      </c>
      <c r="G331">
        <v>5.0585000000000004</v>
      </c>
      <c r="H331">
        <v>307</v>
      </c>
      <c r="I331">
        <v>416</v>
      </c>
      <c r="J331">
        <v>117.06</v>
      </c>
      <c r="K331">
        <v>1</v>
      </c>
    </row>
    <row r="332" spans="1:11" x14ac:dyDescent="0.25">
      <c r="A332" t="s">
        <v>14</v>
      </c>
      <c r="B332">
        <v>36</v>
      </c>
      <c r="C332">
        <v>5</v>
      </c>
      <c r="D332" t="s">
        <v>12</v>
      </c>
      <c r="E332">
        <v>0.14960000000000001</v>
      </c>
      <c r="F332">
        <v>0</v>
      </c>
      <c r="G332">
        <v>5.0585000000000004</v>
      </c>
      <c r="H332">
        <v>307</v>
      </c>
      <c r="I332">
        <v>416</v>
      </c>
      <c r="J332">
        <v>117.06</v>
      </c>
      <c r="K332">
        <v>1</v>
      </c>
    </row>
    <row r="333" spans="1:11" x14ac:dyDescent="0.25">
      <c r="A333" t="s">
        <v>14</v>
      </c>
      <c r="B333">
        <v>36</v>
      </c>
      <c r="C333">
        <v>6</v>
      </c>
      <c r="D333" t="s">
        <v>12</v>
      </c>
      <c r="E333">
        <v>0.1171</v>
      </c>
      <c r="F333">
        <v>0</v>
      </c>
      <c r="G333">
        <v>5.0585000000000004</v>
      </c>
      <c r="H333">
        <v>307</v>
      </c>
      <c r="I333">
        <v>416</v>
      </c>
      <c r="J333">
        <v>117.06</v>
      </c>
      <c r="K333">
        <v>1</v>
      </c>
    </row>
    <row r="334" spans="1:11" x14ac:dyDescent="0.25">
      <c r="A334" t="s">
        <v>14</v>
      </c>
      <c r="B334">
        <v>36</v>
      </c>
      <c r="C334">
        <v>7</v>
      </c>
      <c r="D334" t="s">
        <v>12</v>
      </c>
      <c r="E334">
        <v>0.11650000000000001</v>
      </c>
      <c r="F334">
        <v>0</v>
      </c>
      <c r="G334">
        <v>5.0585000000000004</v>
      </c>
      <c r="H334">
        <v>307</v>
      </c>
      <c r="I334">
        <v>416</v>
      </c>
      <c r="J334">
        <v>117.06</v>
      </c>
      <c r="K334">
        <v>1</v>
      </c>
    </row>
    <row r="335" spans="1:11" x14ac:dyDescent="0.25">
      <c r="A335" t="s">
        <v>14</v>
      </c>
      <c r="B335">
        <v>36</v>
      </c>
      <c r="C335">
        <v>8</v>
      </c>
      <c r="D335" t="s">
        <v>12</v>
      </c>
      <c r="E335">
        <v>0.1109</v>
      </c>
      <c r="F335">
        <v>0</v>
      </c>
      <c r="G335">
        <v>5.0585000000000004</v>
      </c>
      <c r="H335">
        <v>307</v>
      </c>
      <c r="I335">
        <v>416</v>
      </c>
      <c r="J335">
        <v>117.06</v>
      </c>
      <c r="K335">
        <v>1</v>
      </c>
    </row>
    <row r="336" spans="1:11" x14ac:dyDescent="0.25">
      <c r="A336" t="s">
        <v>14</v>
      </c>
      <c r="B336">
        <v>36</v>
      </c>
      <c r="C336">
        <v>9</v>
      </c>
      <c r="D336" t="s">
        <v>12</v>
      </c>
      <c r="E336">
        <v>0.1489</v>
      </c>
      <c r="F336">
        <v>0</v>
      </c>
      <c r="G336">
        <v>5.0585000000000004</v>
      </c>
      <c r="H336">
        <v>307</v>
      </c>
      <c r="I336">
        <v>416</v>
      </c>
      <c r="J336">
        <v>117.06</v>
      </c>
      <c r="K336">
        <v>2</v>
      </c>
    </row>
    <row r="337" spans="1:12" x14ac:dyDescent="0.25">
      <c r="A337" t="s">
        <v>14</v>
      </c>
      <c r="B337">
        <v>36</v>
      </c>
      <c r="C337">
        <v>10</v>
      </c>
      <c r="D337" t="s">
        <v>12</v>
      </c>
      <c r="E337">
        <v>0.1477</v>
      </c>
      <c r="F337">
        <v>0</v>
      </c>
      <c r="G337">
        <v>5.0585000000000004</v>
      </c>
      <c r="H337">
        <v>307</v>
      </c>
      <c r="I337">
        <v>416</v>
      </c>
      <c r="J337">
        <v>117.06</v>
      </c>
      <c r="K337">
        <v>2</v>
      </c>
    </row>
    <row r="338" spans="1:12" x14ac:dyDescent="0.25">
      <c r="A338" t="s">
        <v>14</v>
      </c>
      <c r="B338">
        <v>36</v>
      </c>
      <c r="C338">
        <v>11</v>
      </c>
      <c r="D338" t="s">
        <v>12</v>
      </c>
      <c r="E338">
        <v>0.1305</v>
      </c>
      <c r="F338">
        <v>0</v>
      </c>
      <c r="G338">
        <v>5.0585000000000004</v>
      </c>
      <c r="H338">
        <v>307</v>
      </c>
      <c r="I338">
        <v>416</v>
      </c>
      <c r="J338">
        <v>117.06</v>
      </c>
      <c r="K338">
        <v>2</v>
      </c>
    </row>
    <row r="339" spans="1:12" x14ac:dyDescent="0.25">
      <c r="A339" t="s">
        <v>14</v>
      </c>
      <c r="B339">
        <v>36</v>
      </c>
      <c r="C339">
        <v>12</v>
      </c>
      <c r="D339" t="s">
        <v>12</v>
      </c>
      <c r="E339">
        <v>0.22969999999999999</v>
      </c>
      <c r="F339">
        <v>0</v>
      </c>
      <c r="G339">
        <v>5.0585000000000004</v>
      </c>
      <c r="H339">
        <v>307</v>
      </c>
      <c r="I339">
        <v>416</v>
      </c>
      <c r="J339">
        <v>117.06</v>
      </c>
      <c r="K339">
        <v>2</v>
      </c>
    </row>
    <row r="340" spans="1:12" x14ac:dyDescent="0.25">
      <c r="A340" t="s">
        <v>14</v>
      </c>
      <c r="B340">
        <v>36</v>
      </c>
      <c r="C340">
        <v>13</v>
      </c>
      <c r="D340" t="s">
        <v>12</v>
      </c>
      <c r="E340">
        <v>0.14299999999999999</v>
      </c>
      <c r="F340">
        <v>0</v>
      </c>
      <c r="G340">
        <v>5.0585000000000004</v>
      </c>
      <c r="H340">
        <v>307</v>
      </c>
      <c r="I340">
        <v>416</v>
      </c>
      <c r="J340">
        <v>117.06</v>
      </c>
      <c r="K340">
        <v>2</v>
      </c>
    </row>
    <row r="341" spans="1:12" x14ac:dyDescent="0.25">
      <c r="A341" t="s">
        <v>14</v>
      </c>
      <c r="B341">
        <v>36</v>
      </c>
      <c r="C341">
        <v>14</v>
      </c>
      <c r="D341" t="s">
        <v>12</v>
      </c>
      <c r="E341">
        <v>0.21990000000000001</v>
      </c>
      <c r="F341">
        <v>0</v>
      </c>
      <c r="G341">
        <v>5.0585000000000004</v>
      </c>
      <c r="H341">
        <v>307</v>
      </c>
      <c r="I341">
        <v>416</v>
      </c>
      <c r="J341">
        <v>117.06</v>
      </c>
      <c r="K341">
        <v>2</v>
      </c>
    </row>
    <row r="342" spans="1:12" x14ac:dyDescent="0.25">
      <c r="A342" t="s">
        <v>14</v>
      </c>
      <c r="B342">
        <v>36</v>
      </c>
      <c r="C342">
        <v>15</v>
      </c>
      <c r="D342" t="s">
        <v>12</v>
      </c>
      <c r="E342">
        <v>0.20300000000000001</v>
      </c>
      <c r="F342">
        <v>0</v>
      </c>
      <c r="G342">
        <v>5.0585000000000004</v>
      </c>
      <c r="H342">
        <v>307</v>
      </c>
      <c r="I342">
        <v>416</v>
      </c>
      <c r="J342">
        <v>117.06</v>
      </c>
      <c r="K342">
        <v>2</v>
      </c>
      <c r="L342">
        <v>17</v>
      </c>
    </row>
    <row r="343" spans="1:12" x14ac:dyDescent="0.25">
      <c r="A343" t="s">
        <v>14</v>
      </c>
      <c r="B343">
        <v>36</v>
      </c>
      <c r="C343">
        <v>16</v>
      </c>
      <c r="D343" t="s">
        <v>12</v>
      </c>
      <c r="E343">
        <v>0.20549999999999999</v>
      </c>
      <c r="F343">
        <v>0</v>
      </c>
      <c r="G343">
        <v>5.0585000000000004</v>
      </c>
      <c r="H343">
        <v>307</v>
      </c>
      <c r="I343">
        <v>416</v>
      </c>
      <c r="J343">
        <v>117.06</v>
      </c>
      <c r="K343">
        <v>2</v>
      </c>
      <c r="L343">
        <v>17.399999999999999</v>
      </c>
    </row>
    <row r="344" spans="1:12" x14ac:dyDescent="0.25">
      <c r="A344" t="s">
        <v>14</v>
      </c>
      <c r="B344">
        <v>36</v>
      </c>
      <c r="C344">
        <v>17</v>
      </c>
      <c r="D344" t="s">
        <v>11</v>
      </c>
      <c r="E344">
        <v>0.18609999999999999</v>
      </c>
      <c r="F344">
        <v>0</v>
      </c>
      <c r="G344">
        <v>5.0585000000000004</v>
      </c>
      <c r="H344">
        <v>307</v>
      </c>
      <c r="I344">
        <v>416</v>
      </c>
      <c r="J344">
        <v>117.06</v>
      </c>
      <c r="K344">
        <v>2</v>
      </c>
      <c r="L344">
        <v>18</v>
      </c>
    </row>
    <row r="345" spans="1:12" x14ac:dyDescent="0.25">
      <c r="A345" t="s">
        <v>14</v>
      </c>
      <c r="B345">
        <v>41</v>
      </c>
      <c r="C345">
        <v>1</v>
      </c>
      <c r="D345" t="s">
        <v>12</v>
      </c>
      <c r="E345">
        <v>7.9399999999999998E-2</v>
      </c>
      <c r="F345">
        <v>0</v>
      </c>
      <c r="G345">
        <v>4.3982999999999999</v>
      </c>
      <c r="H345">
        <v>304</v>
      </c>
      <c r="I345">
        <v>348</v>
      </c>
      <c r="J345">
        <v>101.75</v>
      </c>
      <c r="K345">
        <v>1</v>
      </c>
    </row>
    <row r="346" spans="1:12" x14ac:dyDescent="0.25">
      <c r="A346" t="s">
        <v>14</v>
      </c>
      <c r="B346">
        <v>41</v>
      </c>
      <c r="C346">
        <v>2</v>
      </c>
      <c r="D346" t="s">
        <v>12</v>
      </c>
      <c r="E346">
        <v>8.3599999999999994E-2</v>
      </c>
      <c r="F346">
        <v>0</v>
      </c>
      <c r="G346">
        <v>4.3982999999999999</v>
      </c>
      <c r="H346">
        <v>304</v>
      </c>
      <c r="I346">
        <v>348</v>
      </c>
      <c r="J346">
        <v>101.75</v>
      </c>
      <c r="K346">
        <v>1</v>
      </c>
    </row>
    <row r="347" spans="1:12" x14ac:dyDescent="0.25">
      <c r="A347" t="s">
        <v>14</v>
      </c>
      <c r="B347">
        <v>41</v>
      </c>
      <c r="C347">
        <v>3</v>
      </c>
      <c r="D347" t="s">
        <v>12</v>
      </c>
      <c r="E347">
        <v>7.4499999999999997E-2</v>
      </c>
      <c r="F347">
        <v>0</v>
      </c>
      <c r="G347">
        <v>4.3982999999999999</v>
      </c>
      <c r="H347">
        <v>304</v>
      </c>
      <c r="I347">
        <v>348</v>
      </c>
      <c r="J347">
        <v>101.75</v>
      </c>
      <c r="K347">
        <v>1</v>
      </c>
    </row>
    <row r="348" spans="1:12" x14ac:dyDescent="0.25">
      <c r="A348" t="s">
        <v>14</v>
      </c>
      <c r="B348">
        <v>41</v>
      </c>
      <c r="C348">
        <v>4</v>
      </c>
      <c r="D348" t="s">
        <v>12</v>
      </c>
      <c r="E348">
        <v>9.2799999999999994E-2</v>
      </c>
      <c r="F348">
        <v>0</v>
      </c>
      <c r="G348">
        <v>4.3982999999999999</v>
      </c>
      <c r="H348">
        <v>304</v>
      </c>
      <c r="I348">
        <v>348</v>
      </c>
      <c r="J348">
        <v>101.75</v>
      </c>
      <c r="K348">
        <v>1</v>
      </c>
    </row>
    <row r="349" spans="1:12" x14ac:dyDescent="0.25">
      <c r="A349" t="s">
        <v>14</v>
      </c>
      <c r="B349">
        <v>41</v>
      </c>
      <c r="C349">
        <v>5</v>
      </c>
      <c r="D349" t="s">
        <v>12</v>
      </c>
      <c r="E349">
        <v>8.9399999999999993E-2</v>
      </c>
      <c r="F349">
        <v>0</v>
      </c>
      <c r="G349">
        <v>4.3982999999999999</v>
      </c>
      <c r="H349">
        <v>304</v>
      </c>
      <c r="I349">
        <v>348</v>
      </c>
      <c r="J349">
        <v>101.75</v>
      </c>
      <c r="K349">
        <v>1</v>
      </c>
    </row>
    <row r="350" spans="1:12" x14ac:dyDescent="0.25">
      <c r="A350" t="s">
        <v>14</v>
      </c>
      <c r="B350">
        <v>41</v>
      </c>
      <c r="C350">
        <v>6</v>
      </c>
      <c r="D350" t="s">
        <v>12</v>
      </c>
      <c r="E350">
        <v>9.5899999999999999E-2</v>
      </c>
      <c r="F350">
        <v>0</v>
      </c>
      <c r="G350">
        <v>4.3982999999999999</v>
      </c>
      <c r="H350">
        <v>304</v>
      </c>
      <c r="I350">
        <v>348</v>
      </c>
      <c r="J350">
        <v>101.75</v>
      </c>
      <c r="K350">
        <v>1</v>
      </c>
    </row>
    <row r="351" spans="1:12" x14ac:dyDescent="0.25">
      <c r="A351" t="s">
        <v>14</v>
      </c>
      <c r="B351">
        <v>41</v>
      </c>
      <c r="C351">
        <v>7</v>
      </c>
      <c r="D351" t="s">
        <v>12</v>
      </c>
      <c r="E351">
        <v>9.4100000000000003E-2</v>
      </c>
      <c r="F351">
        <v>0</v>
      </c>
      <c r="G351">
        <v>4.3982999999999999</v>
      </c>
      <c r="H351">
        <v>304</v>
      </c>
      <c r="I351">
        <v>348</v>
      </c>
      <c r="J351">
        <v>101.75</v>
      </c>
      <c r="K351">
        <v>1</v>
      </c>
    </row>
    <row r="352" spans="1:12" x14ac:dyDescent="0.25">
      <c r="A352" t="s">
        <v>14</v>
      </c>
      <c r="B352">
        <v>41</v>
      </c>
      <c r="C352">
        <v>8</v>
      </c>
      <c r="D352" t="s">
        <v>12</v>
      </c>
      <c r="E352">
        <v>8.5500000000000007E-2</v>
      </c>
      <c r="F352">
        <v>0</v>
      </c>
      <c r="G352">
        <v>4.3982999999999999</v>
      </c>
      <c r="H352">
        <v>304</v>
      </c>
      <c r="I352">
        <v>348</v>
      </c>
      <c r="J352">
        <v>101.75</v>
      </c>
      <c r="K352">
        <v>2</v>
      </c>
    </row>
    <row r="353" spans="1:12" x14ac:dyDescent="0.25">
      <c r="A353" t="s">
        <v>14</v>
      </c>
      <c r="B353">
        <v>41</v>
      </c>
      <c r="C353">
        <v>9</v>
      </c>
      <c r="D353" t="s">
        <v>12</v>
      </c>
      <c r="E353">
        <v>9.0700000000000003E-2</v>
      </c>
      <c r="F353">
        <v>0</v>
      </c>
      <c r="G353">
        <v>4.3982999999999999</v>
      </c>
      <c r="H353">
        <v>304</v>
      </c>
      <c r="I353">
        <v>348</v>
      </c>
      <c r="J353">
        <v>101.75</v>
      </c>
      <c r="K353">
        <v>2</v>
      </c>
    </row>
    <row r="354" spans="1:12" x14ac:dyDescent="0.25">
      <c r="A354" t="s">
        <v>14</v>
      </c>
      <c r="B354">
        <v>41</v>
      </c>
      <c r="C354">
        <v>10</v>
      </c>
      <c r="D354" t="s">
        <v>12</v>
      </c>
      <c r="E354">
        <v>8.7800000000000003E-2</v>
      </c>
      <c r="F354">
        <v>0</v>
      </c>
      <c r="G354">
        <v>4.3982999999999999</v>
      </c>
      <c r="H354">
        <v>304</v>
      </c>
      <c r="I354">
        <v>348</v>
      </c>
      <c r="J354">
        <v>101.75</v>
      </c>
      <c r="K354">
        <v>2</v>
      </c>
    </row>
    <row r="355" spans="1:12" x14ac:dyDescent="0.25">
      <c r="A355" t="s">
        <v>14</v>
      </c>
      <c r="B355">
        <v>41</v>
      </c>
      <c r="C355">
        <v>11</v>
      </c>
      <c r="D355" t="s">
        <v>12</v>
      </c>
      <c r="E355">
        <v>0.14050000000000001</v>
      </c>
      <c r="F355">
        <v>0</v>
      </c>
      <c r="G355">
        <v>4.3982999999999999</v>
      </c>
      <c r="H355">
        <v>304</v>
      </c>
      <c r="I355">
        <v>348</v>
      </c>
      <c r="J355">
        <v>101.75</v>
      </c>
      <c r="K355">
        <v>2</v>
      </c>
    </row>
    <row r="356" spans="1:12" x14ac:dyDescent="0.25">
      <c r="A356" t="s">
        <v>14</v>
      </c>
      <c r="B356">
        <v>41</v>
      </c>
      <c r="C356">
        <v>12</v>
      </c>
      <c r="D356" t="s">
        <v>12</v>
      </c>
      <c r="E356">
        <v>0.13880000000000001</v>
      </c>
      <c r="F356">
        <v>0</v>
      </c>
      <c r="G356">
        <v>4.3982999999999999</v>
      </c>
      <c r="H356">
        <v>304</v>
      </c>
      <c r="I356">
        <v>348</v>
      </c>
      <c r="J356">
        <v>101.75</v>
      </c>
      <c r="K356">
        <v>2</v>
      </c>
    </row>
    <row r="357" spans="1:12" x14ac:dyDescent="0.25">
      <c r="A357" t="s">
        <v>14</v>
      </c>
      <c r="B357">
        <v>41</v>
      </c>
      <c r="C357">
        <v>13</v>
      </c>
      <c r="D357" t="s">
        <v>12</v>
      </c>
      <c r="E357">
        <v>0.1285</v>
      </c>
      <c r="F357">
        <v>0</v>
      </c>
      <c r="G357">
        <v>4.3982999999999999</v>
      </c>
      <c r="H357">
        <v>304</v>
      </c>
      <c r="I357">
        <v>348</v>
      </c>
      <c r="J357">
        <v>101.75</v>
      </c>
      <c r="K357">
        <v>2</v>
      </c>
    </row>
    <row r="358" spans="1:12" x14ac:dyDescent="0.25">
      <c r="A358" t="s">
        <v>14</v>
      </c>
      <c r="B358">
        <v>41</v>
      </c>
      <c r="C358">
        <v>14</v>
      </c>
      <c r="D358" t="s">
        <v>12</v>
      </c>
      <c r="E358">
        <v>0.11509999999999999</v>
      </c>
      <c r="F358">
        <v>0</v>
      </c>
      <c r="G358">
        <v>4.3982999999999999</v>
      </c>
      <c r="H358">
        <v>304</v>
      </c>
      <c r="I358">
        <v>348</v>
      </c>
      <c r="J358">
        <v>101.75</v>
      </c>
      <c r="K358">
        <v>2</v>
      </c>
    </row>
    <row r="359" spans="1:12" x14ac:dyDescent="0.25">
      <c r="A359" t="s">
        <v>14</v>
      </c>
      <c r="B359">
        <v>41</v>
      </c>
      <c r="C359">
        <v>15</v>
      </c>
      <c r="D359" t="s">
        <v>11</v>
      </c>
      <c r="E359">
        <v>0.24110000000000001</v>
      </c>
      <c r="F359">
        <v>0</v>
      </c>
      <c r="G359">
        <v>4.3982999999999999</v>
      </c>
      <c r="H359">
        <v>304</v>
      </c>
      <c r="I359">
        <v>348</v>
      </c>
      <c r="J359">
        <v>101.75</v>
      </c>
      <c r="K359">
        <v>2</v>
      </c>
      <c r="L359">
        <v>17.399999999999999</v>
      </c>
    </row>
    <row r="360" spans="1:12" x14ac:dyDescent="0.25">
      <c r="A360" t="s">
        <v>14</v>
      </c>
      <c r="B360">
        <v>41</v>
      </c>
      <c r="C360">
        <v>16</v>
      </c>
      <c r="D360" t="s">
        <v>12</v>
      </c>
      <c r="E360">
        <v>0.2263</v>
      </c>
      <c r="F360">
        <v>0</v>
      </c>
      <c r="G360">
        <v>4.3982999999999999</v>
      </c>
      <c r="H360">
        <v>304</v>
      </c>
      <c r="I360">
        <v>348</v>
      </c>
      <c r="J360">
        <v>101.75</v>
      </c>
      <c r="K360">
        <v>2</v>
      </c>
      <c r="L360">
        <v>16.399999999999999</v>
      </c>
    </row>
    <row r="361" spans="1:12" x14ac:dyDescent="0.25">
      <c r="A361" t="s">
        <v>14</v>
      </c>
      <c r="B361">
        <v>44</v>
      </c>
      <c r="C361">
        <v>1</v>
      </c>
      <c r="D361" t="s">
        <v>12</v>
      </c>
      <c r="E361">
        <v>0.26</v>
      </c>
      <c r="F361">
        <v>0</v>
      </c>
      <c r="G361">
        <v>3.3331</v>
      </c>
      <c r="H361">
        <v>308</v>
      </c>
      <c r="I361">
        <v>416</v>
      </c>
      <c r="J361">
        <v>104.58</v>
      </c>
      <c r="K361">
        <v>1</v>
      </c>
    </row>
    <row r="362" spans="1:12" x14ac:dyDescent="0.25">
      <c r="A362" t="s">
        <v>14</v>
      </c>
      <c r="B362">
        <v>44</v>
      </c>
      <c r="C362">
        <v>2</v>
      </c>
      <c r="D362" t="s">
        <v>12</v>
      </c>
      <c r="E362">
        <v>5.3800000000000001E-2</v>
      </c>
      <c r="F362">
        <v>0</v>
      </c>
      <c r="G362">
        <v>3.3331</v>
      </c>
      <c r="H362">
        <v>308</v>
      </c>
      <c r="I362">
        <v>416</v>
      </c>
      <c r="J362">
        <v>104.58</v>
      </c>
      <c r="K362">
        <v>1</v>
      </c>
    </row>
    <row r="363" spans="1:12" x14ac:dyDescent="0.25">
      <c r="A363" t="s">
        <v>14</v>
      </c>
      <c r="B363">
        <v>44</v>
      </c>
      <c r="C363">
        <v>3</v>
      </c>
      <c r="D363" t="s">
        <v>11</v>
      </c>
      <c r="E363">
        <v>0.74880000000000002</v>
      </c>
      <c r="F363">
        <v>0.25540000000000002</v>
      </c>
      <c r="G363">
        <v>3.3331</v>
      </c>
      <c r="H363">
        <v>308</v>
      </c>
      <c r="I363">
        <v>416</v>
      </c>
      <c r="J363">
        <v>104.58</v>
      </c>
      <c r="K363">
        <v>1</v>
      </c>
      <c r="L363">
        <v>13.2</v>
      </c>
    </row>
    <row r="364" spans="1:12" x14ac:dyDescent="0.25">
      <c r="A364" t="s">
        <v>14</v>
      </c>
      <c r="B364">
        <v>44</v>
      </c>
      <c r="C364">
        <v>4</v>
      </c>
      <c r="D364" t="s">
        <v>12</v>
      </c>
      <c r="E364">
        <v>0.26150000000000001</v>
      </c>
      <c r="F364">
        <v>0</v>
      </c>
      <c r="G364">
        <v>3.3331</v>
      </c>
      <c r="H364">
        <v>308</v>
      </c>
      <c r="I364">
        <v>416</v>
      </c>
      <c r="J364">
        <v>104.58</v>
      </c>
      <c r="K364">
        <v>1</v>
      </c>
    </row>
    <row r="365" spans="1:12" x14ac:dyDescent="0.25">
      <c r="A365" t="s">
        <v>14</v>
      </c>
      <c r="B365">
        <v>44</v>
      </c>
      <c r="C365">
        <v>5</v>
      </c>
      <c r="D365" t="s">
        <v>11</v>
      </c>
      <c r="E365">
        <v>0.71199999999999997</v>
      </c>
      <c r="F365">
        <v>0.2135</v>
      </c>
      <c r="G365">
        <v>3.3331</v>
      </c>
      <c r="H365">
        <v>308</v>
      </c>
      <c r="I365">
        <v>416</v>
      </c>
      <c r="J365">
        <v>104.58</v>
      </c>
      <c r="K365">
        <v>1</v>
      </c>
      <c r="L365">
        <v>16</v>
      </c>
    </row>
    <row r="366" spans="1:12" x14ac:dyDescent="0.25">
      <c r="A366" t="s">
        <v>14</v>
      </c>
      <c r="B366">
        <v>44</v>
      </c>
      <c r="C366">
        <v>6</v>
      </c>
      <c r="D366" t="s">
        <v>11</v>
      </c>
      <c r="E366">
        <v>0.6573</v>
      </c>
      <c r="F366">
        <v>0.13400000000000001</v>
      </c>
      <c r="G366">
        <v>3.3331</v>
      </c>
      <c r="H366">
        <v>308</v>
      </c>
      <c r="I366">
        <v>416</v>
      </c>
      <c r="J366">
        <v>104.58</v>
      </c>
      <c r="K366">
        <v>1</v>
      </c>
      <c r="L366">
        <v>16.600000000000001</v>
      </c>
    </row>
    <row r="367" spans="1:12" x14ac:dyDescent="0.25">
      <c r="A367" t="s">
        <v>14</v>
      </c>
      <c r="B367">
        <v>44</v>
      </c>
      <c r="C367">
        <v>7</v>
      </c>
      <c r="D367" t="s">
        <v>11</v>
      </c>
      <c r="E367">
        <v>0.52600000000000002</v>
      </c>
      <c r="F367">
        <v>0.1166</v>
      </c>
      <c r="G367">
        <v>3.3331</v>
      </c>
      <c r="H367">
        <v>308</v>
      </c>
      <c r="I367">
        <v>416</v>
      </c>
      <c r="J367">
        <v>104.58</v>
      </c>
      <c r="K367">
        <v>2</v>
      </c>
      <c r="L367">
        <v>16.8</v>
      </c>
    </row>
    <row r="368" spans="1:12" x14ac:dyDescent="0.25">
      <c r="A368" t="s">
        <v>14</v>
      </c>
      <c r="B368">
        <v>44</v>
      </c>
      <c r="C368">
        <v>8</v>
      </c>
      <c r="D368" t="s">
        <v>11</v>
      </c>
      <c r="E368">
        <v>0.70369999999999999</v>
      </c>
      <c r="F368">
        <v>0.3105</v>
      </c>
      <c r="G368">
        <v>3.3331</v>
      </c>
      <c r="H368">
        <v>308</v>
      </c>
      <c r="I368">
        <v>416</v>
      </c>
      <c r="J368">
        <v>104.58</v>
      </c>
      <c r="K368">
        <v>2</v>
      </c>
      <c r="L368">
        <v>18.2</v>
      </c>
    </row>
    <row r="369" spans="1:12" x14ac:dyDescent="0.25">
      <c r="A369" t="s">
        <v>14</v>
      </c>
      <c r="B369">
        <v>44</v>
      </c>
      <c r="C369">
        <v>9</v>
      </c>
      <c r="D369" t="s">
        <v>11</v>
      </c>
      <c r="E369">
        <v>0.81140000000000001</v>
      </c>
      <c r="F369">
        <v>0.33310000000000001</v>
      </c>
      <c r="G369">
        <v>3.3331</v>
      </c>
      <c r="H369">
        <v>308</v>
      </c>
      <c r="I369">
        <v>416</v>
      </c>
      <c r="J369">
        <v>104.58</v>
      </c>
      <c r="K369">
        <v>2</v>
      </c>
      <c r="L369">
        <v>0</v>
      </c>
    </row>
    <row r="370" spans="1:12" x14ac:dyDescent="0.25">
      <c r="A370" t="s">
        <v>14</v>
      </c>
      <c r="B370">
        <v>44</v>
      </c>
      <c r="C370">
        <v>10</v>
      </c>
      <c r="D370" t="s">
        <v>12</v>
      </c>
      <c r="E370">
        <v>0.22489999999999999</v>
      </c>
      <c r="F370">
        <v>0</v>
      </c>
      <c r="G370">
        <v>3.3331</v>
      </c>
      <c r="H370">
        <v>308</v>
      </c>
      <c r="I370">
        <v>416</v>
      </c>
      <c r="J370">
        <v>104.58</v>
      </c>
      <c r="K370">
        <v>2</v>
      </c>
      <c r="L370">
        <v>17</v>
      </c>
    </row>
    <row r="371" spans="1:12" x14ac:dyDescent="0.25">
      <c r="A371" t="s">
        <v>14</v>
      </c>
      <c r="B371">
        <v>44</v>
      </c>
      <c r="C371">
        <v>11</v>
      </c>
      <c r="D371" t="s">
        <v>12</v>
      </c>
      <c r="E371">
        <v>0.2165</v>
      </c>
      <c r="F371">
        <v>0</v>
      </c>
      <c r="G371">
        <v>3.3331</v>
      </c>
      <c r="H371">
        <v>308</v>
      </c>
      <c r="I371">
        <v>416</v>
      </c>
      <c r="J371">
        <v>104.58</v>
      </c>
      <c r="K371">
        <v>2</v>
      </c>
    </row>
    <row r="372" spans="1:12" x14ac:dyDescent="0.25">
      <c r="A372" t="s">
        <v>14</v>
      </c>
      <c r="B372">
        <v>44</v>
      </c>
      <c r="C372">
        <v>12</v>
      </c>
      <c r="D372" t="s">
        <v>11</v>
      </c>
      <c r="E372">
        <v>0.17899999999999999</v>
      </c>
      <c r="F372">
        <v>0</v>
      </c>
      <c r="G372">
        <v>3.3331</v>
      </c>
      <c r="H372">
        <v>308</v>
      </c>
      <c r="I372">
        <v>416</v>
      </c>
      <c r="J372">
        <v>104.58</v>
      </c>
      <c r="K372">
        <v>2</v>
      </c>
      <c r="L372">
        <v>16.8</v>
      </c>
    </row>
    <row r="373" spans="1:12" x14ac:dyDescent="0.25">
      <c r="A373" t="s">
        <v>14</v>
      </c>
      <c r="B373">
        <v>44</v>
      </c>
      <c r="C373">
        <v>13</v>
      </c>
      <c r="D373" t="s">
        <v>11</v>
      </c>
      <c r="E373">
        <v>0.1769</v>
      </c>
      <c r="F373">
        <v>0</v>
      </c>
      <c r="G373">
        <v>3.3331</v>
      </c>
      <c r="H373">
        <v>308</v>
      </c>
      <c r="I373">
        <v>416</v>
      </c>
      <c r="J373">
        <v>104.58</v>
      </c>
      <c r="K373">
        <v>2</v>
      </c>
      <c r="L373">
        <v>13</v>
      </c>
    </row>
    <row r="374" spans="1:12" x14ac:dyDescent="0.25">
      <c r="A374" t="s">
        <v>14</v>
      </c>
      <c r="B374">
        <v>50</v>
      </c>
      <c r="C374">
        <v>1</v>
      </c>
      <c r="D374" t="s">
        <v>12</v>
      </c>
      <c r="E374">
        <v>0.14449999999999999</v>
      </c>
      <c r="F374">
        <v>0</v>
      </c>
      <c r="G374">
        <v>5.2439999999999998</v>
      </c>
      <c r="H374">
        <v>334</v>
      </c>
      <c r="I374">
        <v>403</v>
      </c>
      <c r="J374">
        <v>194.86</v>
      </c>
      <c r="K374">
        <v>1</v>
      </c>
    </row>
    <row r="375" spans="1:12" x14ac:dyDescent="0.25">
      <c r="A375" t="s">
        <v>14</v>
      </c>
      <c r="B375">
        <v>50</v>
      </c>
      <c r="C375">
        <v>2</v>
      </c>
      <c r="D375" t="s">
        <v>12</v>
      </c>
      <c r="E375">
        <v>0.13819999999999999</v>
      </c>
      <c r="F375">
        <v>0</v>
      </c>
      <c r="G375">
        <v>5.2439999999999998</v>
      </c>
      <c r="H375">
        <v>334</v>
      </c>
      <c r="I375">
        <v>403</v>
      </c>
      <c r="J375">
        <v>194.86</v>
      </c>
      <c r="K375">
        <v>1</v>
      </c>
    </row>
    <row r="376" spans="1:12" x14ac:dyDescent="0.25">
      <c r="A376" t="s">
        <v>14</v>
      </c>
      <c r="B376">
        <v>50</v>
      </c>
      <c r="C376">
        <v>3</v>
      </c>
      <c r="D376" t="s">
        <v>12</v>
      </c>
      <c r="E376">
        <v>0.1656</v>
      </c>
      <c r="F376">
        <v>0</v>
      </c>
      <c r="G376">
        <v>5.2439999999999998</v>
      </c>
      <c r="H376">
        <v>334</v>
      </c>
      <c r="I376">
        <v>403</v>
      </c>
      <c r="J376">
        <v>194.86</v>
      </c>
      <c r="K376">
        <v>1</v>
      </c>
    </row>
    <row r="377" spans="1:12" x14ac:dyDescent="0.25">
      <c r="A377" t="s">
        <v>14</v>
      </c>
      <c r="B377">
        <v>50</v>
      </c>
      <c r="C377">
        <v>4</v>
      </c>
      <c r="D377" t="s">
        <v>12</v>
      </c>
      <c r="E377">
        <v>0.1646</v>
      </c>
      <c r="F377">
        <v>0</v>
      </c>
      <c r="G377">
        <v>5.2439999999999998</v>
      </c>
      <c r="H377">
        <v>334</v>
      </c>
      <c r="I377">
        <v>403</v>
      </c>
      <c r="J377">
        <v>194.86</v>
      </c>
      <c r="K377">
        <v>1</v>
      </c>
    </row>
    <row r="378" spans="1:12" x14ac:dyDescent="0.25">
      <c r="A378" t="s">
        <v>14</v>
      </c>
      <c r="B378">
        <v>50</v>
      </c>
      <c r="C378">
        <v>5</v>
      </c>
      <c r="D378" t="s">
        <v>12</v>
      </c>
      <c r="E378">
        <v>0.16189999999999999</v>
      </c>
      <c r="F378">
        <v>0</v>
      </c>
      <c r="G378">
        <v>5.2439999999999998</v>
      </c>
      <c r="H378">
        <v>334</v>
      </c>
      <c r="I378">
        <v>403</v>
      </c>
      <c r="J378">
        <v>194.86</v>
      </c>
      <c r="K378">
        <v>1</v>
      </c>
    </row>
    <row r="379" spans="1:12" x14ac:dyDescent="0.25">
      <c r="A379" t="s">
        <v>14</v>
      </c>
      <c r="B379">
        <v>50</v>
      </c>
      <c r="C379">
        <v>6</v>
      </c>
      <c r="D379" t="s">
        <v>12</v>
      </c>
      <c r="E379">
        <v>0.13880000000000001</v>
      </c>
      <c r="F379">
        <v>0</v>
      </c>
      <c r="G379">
        <v>5.2439999999999998</v>
      </c>
      <c r="H379">
        <v>334</v>
      </c>
      <c r="I379">
        <v>403</v>
      </c>
      <c r="J379">
        <v>194.86</v>
      </c>
      <c r="K379">
        <v>1</v>
      </c>
    </row>
    <row r="380" spans="1:12" x14ac:dyDescent="0.25">
      <c r="A380" t="s">
        <v>14</v>
      </c>
      <c r="B380">
        <v>50</v>
      </c>
      <c r="C380">
        <v>7</v>
      </c>
      <c r="D380" t="s">
        <v>12</v>
      </c>
      <c r="E380">
        <v>0.12989999999999999</v>
      </c>
      <c r="F380">
        <v>0</v>
      </c>
      <c r="G380">
        <v>5.2439999999999998</v>
      </c>
      <c r="H380">
        <v>334</v>
      </c>
      <c r="I380">
        <v>403</v>
      </c>
      <c r="J380">
        <v>194.86</v>
      </c>
      <c r="K380">
        <v>1</v>
      </c>
    </row>
    <row r="381" spans="1:12" x14ac:dyDescent="0.25">
      <c r="A381" t="s">
        <v>14</v>
      </c>
      <c r="B381">
        <v>50</v>
      </c>
      <c r="C381">
        <v>8</v>
      </c>
      <c r="D381" t="s">
        <v>12</v>
      </c>
      <c r="E381">
        <v>0.1686</v>
      </c>
      <c r="F381">
        <v>0</v>
      </c>
      <c r="G381">
        <v>5.2439999999999998</v>
      </c>
      <c r="H381">
        <v>334</v>
      </c>
      <c r="I381">
        <v>403</v>
      </c>
      <c r="J381">
        <v>194.86</v>
      </c>
      <c r="K381">
        <v>1</v>
      </c>
    </row>
    <row r="382" spans="1:12" x14ac:dyDescent="0.25">
      <c r="A382" t="s">
        <v>14</v>
      </c>
      <c r="B382">
        <v>50</v>
      </c>
      <c r="C382">
        <v>9</v>
      </c>
      <c r="D382" t="s">
        <v>12</v>
      </c>
      <c r="E382">
        <v>0.20880000000000001</v>
      </c>
      <c r="F382">
        <v>0</v>
      </c>
      <c r="G382">
        <v>5.2439999999999998</v>
      </c>
      <c r="H382">
        <v>334</v>
      </c>
      <c r="I382">
        <v>403</v>
      </c>
      <c r="J382">
        <v>194.86</v>
      </c>
      <c r="K382">
        <v>2</v>
      </c>
    </row>
    <row r="383" spans="1:12" x14ac:dyDescent="0.25">
      <c r="A383" t="s">
        <v>14</v>
      </c>
      <c r="B383">
        <v>50</v>
      </c>
      <c r="C383">
        <v>10</v>
      </c>
      <c r="D383" t="s">
        <v>12</v>
      </c>
      <c r="E383">
        <v>0.19</v>
      </c>
      <c r="F383">
        <v>0</v>
      </c>
      <c r="G383">
        <v>5.2439999999999998</v>
      </c>
      <c r="H383">
        <v>334</v>
      </c>
      <c r="I383">
        <v>403</v>
      </c>
      <c r="J383">
        <v>194.86</v>
      </c>
      <c r="K383">
        <v>2</v>
      </c>
    </row>
    <row r="384" spans="1:12" x14ac:dyDescent="0.25">
      <c r="A384" t="s">
        <v>14</v>
      </c>
      <c r="B384">
        <v>50</v>
      </c>
      <c r="C384">
        <v>11</v>
      </c>
      <c r="D384" t="s">
        <v>12</v>
      </c>
      <c r="E384">
        <v>0.20019999999999999</v>
      </c>
      <c r="F384">
        <v>0</v>
      </c>
      <c r="G384">
        <v>5.2439999999999998</v>
      </c>
      <c r="H384">
        <v>334</v>
      </c>
      <c r="I384">
        <v>403</v>
      </c>
      <c r="J384">
        <v>194.86</v>
      </c>
      <c r="K384">
        <v>2</v>
      </c>
    </row>
    <row r="385" spans="1:12" x14ac:dyDescent="0.25">
      <c r="A385" t="s">
        <v>14</v>
      </c>
      <c r="B385">
        <v>50</v>
      </c>
      <c r="C385">
        <v>12</v>
      </c>
      <c r="D385" t="s">
        <v>12</v>
      </c>
      <c r="E385">
        <v>0.21859999999999999</v>
      </c>
      <c r="F385">
        <v>0</v>
      </c>
      <c r="G385">
        <v>5.2439999999999998</v>
      </c>
      <c r="H385">
        <v>334</v>
      </c>
      <c r="I385">
        <v>403</v>
      </c>
      <c r="J385">
        <v>194.86</v>
      </c>
      <c r="K385">
        <v>2</v>
      </c>
    </row>
    <row r="386" spans="1:12" x14ac:dyDescent="0.25">
      <c r="A386" t="s">
        <v>14</v>
      </c>
      <c r="B386">
        <v>50</v>
      </c>
      <c r="C386">
        <v>13</v>
      </c>
      <c r="D386" t="s">
        <v>12</v>
      </c>
      <c r="E386">
        <v>0.23949999999999999</v>
      </c>
      <c r="F386">
        <v>0</v>
      </c>
      <c r="G386">
        <v>5.2439999999999998</v>
      </c>
      <c r="H386">
        <v>334</v>
      </c>
      <c r="I386">
        <v>403</v>
      </c>
      <c r="J386">
        <v>194.86</v>
      </c>
      <c r="K386">
        <v>2</v>
      </c>
      <c r="L386">
        <v>10</v>
      </c>
    </row>
    <row r="387" spans="1:12" x14ac:dyDescent="0.25">
      <c r="A387" t="s">
        <v>14</v>
      </c>
      <c r="B387">
        <v>50</v>
      </c>
      <c r="C387">
        <v>14</v>
      </c>
      <c r="D387" t="s">
        <v>12</v>
      </c>
      <c r="E387">
        <v>0.19850000000000001</v>
      </c>
      <c r="F387">
        <v>0</v>
      </c>
      <c r="G387">
        <v>5.2439999999999998</v>
      </c>
      <c r="H387">
        <v>334</v>
      </c>
      <c r="I387">
        <v>403</v>
      </c>
      <c r="J387">
        <v>194.86</v>
      </c>
      <c r="K387">
        <v>2</v>
      </c>
    </row>
    <row r="388" spans="1:12" x14ac:dyDescent="0.25">
      <c r="A388" t="s">
        <v>14</v>
      </c>
      <c r="B388">
        <v>50</v>
      </c>
      <c r="C388">
        <v>15</v>
      </c>
      <c r="D388" t="s">
        <v>12</v>
      </c>
      <c r="E388">
        <v>0.2374</v>
      </c>
      <c r="F388">
        <v>0</v>
      </c>
      <c r="G388">
        <v>5.2439999999999998</v>
      </c>
      <c r="H388">
        <v>334</v>
      </c>
      <c r="I388">
        <v>403</v>
      </c>
      <c r="J388">
        <v>194.86</v>
      </c>
      <c r="K388">
        <v>2</v>
      </c>
    </row>
    <row r="389" spans="1:12" x14ac:dyDescent="0.25">
      <c r="A389" t="s">
        <v>14</v>
      </c>
      <c r="B389">
        <v>50</v>
      </c>
      <c r="C389">
        <v>16</v>
      </c>
      <c r="D389" t="s">
        <v>12</v>
      </c>
      <c r="E389">
        <v>0.2278</v>
      </c>
      <c r="F389">
        <v>0</v>
      </c>
      <c r="G389">
        <v>5.2439999999999998</v>
      </c>
      <c r="H389">
        <v>334</v>
      </c>
      <c r="I389">
        <v>403</v>
      </c>
      <c r="J389">
        <v>194.86</v>
      </c>
      <c r="K389">
        <v>2</v>
      </c>
      <c r="L389">
        <v>0</v>
      </c>
    </row>
    <row r="390" spans="1:12" x14ac:dyDescent="0.25">
      <c r="A390" t="s">
        <v>14</v>
      </c>
      <c r="B390">
        <v>50</v>
      </c>
      <c r="C390">
        <v>17</v>
      </c>
      <c r="D390" t="s">
        <v>12</v>
      </c>
      <c r="E390">
        <v>0.25019999999999998</v>
      </c>
      <c r="F390">
        <v>0</v>
      </c>
      <c r="G390">
        <v>5.2439999999999998</v>
      </c>
      <c r="H390">
        <v>334</v>
      </c>
      <c r="I390">
        <v>403</v>
      </c>
      <c r="J390">
        <v>194.86</v>
      </c>
      <c r="K390">
        <v>2</v>
      </c>
      <c r="L390">
        <v>10</v>
      </c>
    </row>
    <row r="391" spans="1:12" x14ac:dyDescent="0.25">
      <c r="A391" t="s">
        <v>14</v>
      </c>
      <c r="B391">
        <v>50</v>
      </c>
      <c r="C391">
        <v>18</v>
      </c>
      <c r="D391" t="s">
        <v>12</v>
      </c>
      <c r="E391">
        <v>0.2172</v>
      </c>
      <c r="F391">
        <v>0</v>
      </c>
      <c r="G391">
        <v>5.2439999999999998</v>
      </c>
      <c r="H391">
        <v>334</v>
      </c>
      <c r="I391">
        <v>403</v>
      </c>
      <c r="J391">
        <v>194.86</v>
      </c>
      <c r="K391">
        <v>2</v>
      </c>
    </row>
    <row r="392" spans="1:12" x14ac:dyDescent="0.25">
      <c r="A392" t="s">
        <v>14</v>
      </c>
      <c r="B392">
        <v>52</v>
      </c>
      <c r="C392">
        <v>1</v>
      </c>
      <c r="D392" t="s">
        <v>12</v>
      </c>
      <c r="E392">
        <v>0.2878</v>
      </c>
      <c r="F392">
        <v>0</v>
      </c>
      <c r="G392">
        <v>4.2218</v>
      </c>
      <c r="H392">
        <v>338</v>
      </c>
      <c r="I392">
        <v>463</v>
      </c>
      <c r="J392">
        <v>137.68</v>
      </c>
      <c r="K392">
        <v>1</v>
      </c>
    </row>
    <row r="393" spans="1:12" x14ac:dyDescent="0.25">
      <c r="A393" t="s">
        <v>14</v>
      </c>
      <c r="B393">
        <v>52</v>
      </c>
      <c r="C393">
        <v>2</v>
      </c>
      <c r="D393" t="s">
        <v>12</v>
      </c>
      <c r="E393">
        <v>0.29020000000000001</v>
      </c>
      <c r="F393">
        <v>0</v>
      </c>
      <c r="G393">
        <v>4.2218</v>
      </c>
      <c r="H393">
        <v>338</v>
      </c>
      <c r="I393">
        <v>463</v>
      </c>
      <c r="J393">
        <v>137.68</v>
      </c>
      <c r="K393">
        <v>1</v>
      </c>
    </row>
    <row r="394" spans="1:12" x14ac:dyDescent="0.25">
      <c r="A394" t="s">
        <v>14</v>
      </c>
      <c r="B394">
        <v>52</v>
      </c>
      <c r="C394">
        <v>3</v>
      </c>
      <c r="D394" t="s">
        <v>12</v>
      </c>
      <c r="E394">
        <v>0.28660000000000002</v>
      </c>
      <c r="F394">
        <v>0</v>
      </c>
      <c r="G394">
        <v>4.2218</v>
      </c>
      <c r="H394">
        <v>338</v>
      </c>
      <c r="I394">
        <v>463</v>
      </c>
      <c r="J394">
        <v>137.68</v>
      </c>
      <c r="K394">
        <v>1</v>
      </c>
    </row>
    <row r="395" spans="1:12" x14ac:dyDescent="0.25">
      <c r="A395" t="s">
        <v>14</v>
      </c>
      <c r="B395">
        <v>52</v>
      </c>
      <c r="C395">
        <v>4</v>
      </c>
      <c r="D395" t="s">
        <v>12</v>
      </c>
      <c r="E395">
        <v>0.27179999999999999</v>
      </c>
      <c r="F395">
        <v>0</v>
      </c>
      <c r="G395">
        <v>4.2218</v>
      </c>
      <c r="H395">
        <v>338</v>
      </c>
      <c r="I395">
        <v>463</v>
      </c>
      <c r="J395">
        <v>137.68</v>
      </c>
      <c r="K395">
        <v>1</v>
      </c>
    </row>
    <row r="396" spans="1:12" x14ac:dyDescent="0.25">
      <c r="A396" t="s">
        <v>14</v>
      </c>
      <c r="B396">
        <v>52</v>
      </c>
      <c r="C396">
        <v>5</v>
      </c>
      <c r="D396" t="s">
        <v>12</v>
      </c>
      <c r="E396">
        <v>0.28299999999999997</v>
      </c>
      <c r="F396">
        <v>0</v>
      </c>
      <c r="G396">
        <v>4.2218</v>
      </c>
      <c r="H396">
        <v>338</v>
      </c>
      <c r="I396">
        <v>463</v>
      </c>
      <c r="J396">
        <v>137.68</v>
      </c>
      <c r="K396">
        <v>1</v>
      </c>
    </row>
    <row r="397" spans="1:12" x14ac:dyDescent="0.25">
      <c r="A397" t="s">
        <v>14</v>
      </c>
      <c r="B397">
        <v>52</v>
      </c>
      <c r="C397">
        <v>6</v>
      </c>
      <c r="D397" t="s">
        <v>12</v>
      </c>
      <c r="E397">
        <v>0.25900000000000001</v>
      </c>
      <c r="F397">
        <v>0</v>
      </c>
      <c r="G397">
        <v>4.2218</v>
      </c>
      <c r="H397">
        <v>338</v>
      </c>
      <c r="I397">
        <v>463</v>
      </c>
      <c r="J397">
        <v>137.68</v>
      </c>
      <c r="K397">
        <v>1</v>
      </c>
    </row>
    <row r="398" spans="1:12" x14ac:dyDescent="0.25">
      <c r="A398" t="s">
        <v>14</v>
      </c>
      <c r="B398">
        <v>52</v>
      </c>
      <c r="C398">
        <v>7</v>
      </c>
      <c r="D398" t="s">
        <v>12</v>
      </c>
      <c r="E398">
        <v>0.27400000000000002</v>
      </c>
      <c r="F398">
        <v>0</v>
      </c>
      <c r="G398">
        <v>4.2218</v>
      </c>
      <c r="H398">
        <v>338</v>
      </c>
      <c r="I398">
        <v>463</v>
      </c>
      <c r="J398">
        <v>137.68</v>
      </c>
      <c r="K398">
        <v>1</v>
      </c>
    </row>
    <row r="399" spans="1:12" x14ac:dyDescent="0.25">
      <c r="A399" t="s">
        <v>14</v>
      </c>
      <c r="B399">
        <v>52</v>
      </c>
      <c r="C399">
        <v>8</v>
      </c>
      <c r="D399" t="s">
        <v>12</v>
      </c>
      <c r="E399">
        <v>0.26869999999999999</v>
      </c>
      <c r="F399">
        <v>0</v>
      </c>
      <c r="G399">
        <v>4.2218</v>
      </c>
      <c r="H399">
        <v>338</v>
      </c>
      <c r="I399">
        <v>463</v>
      </c>
      <c r="J399">
        <v>137.68</v>
      </c>
      <c r="K399">
        <v>1</v>
      </c>
    </row>
    <row r="400" spans="1:12" x14ac:dyDescent="0.25">
      <c r="A400" t="s">
        <v>14</v>
      </c>
      <c r="B400">
        <v>52</v>
      </c>
      <c r="C400">
        <v>9</v>
      </c>
      <c r="D400" t="s">
        <v>12</v>
      </c>
      <c r="E400">
        <v>0.27439999999999998</v>
      </c>
      <c r="F400">
        <v>0</v>
      </c>
      <c r="G400">
        <v>4.2218</v>
      </c>
      <c r="H400">
        <v>338</v>
      </c>
      <c r="I400">
        <v>463</v>
      </c>
      <c r="J400">
        <v>137.68</v>
      </c>
      <c r="K400">
        <v>2</v>
      </c>
      <c r="L400">
        <v>0</v>
      </c>
    </row>
    <row r="401" spans="1:12" x14ac:dyDescent="0.25">
      <c r="A401" t="s">
        <v>14</v>
      </c>
      <c r="B401">
        <v>52</v>
      </c>
      <c r="C401">
        <v>10</v>
      </c>
      <c r="D401" t="s">
        <v>12</v>
      </c>
      <c r="E401">
        <v>0.25879999999999997</v>
      </c>
      <c r="F401">
        <v>0</v>
      </c>
      <c r="G401">
        <v>4.2218</v>
      </c>
      <c r="H401">
        <v>338</v>
      </c>
      <c r="I401">
        <v>463</v>
      </c>
      <c r="J401">
        <v>137.68</v>
      </c>
      <c r="K401">
        <v>2</v>
      </c>
    </row>
    <row r="402" spans="1:12" x14ac:dyDescent="0.25">
      <c r="A402" t="s">
        <v>14</v>
      </c>
      <c r="B402">
        <v>52</v>
      </c>
      <c r="C402">
        <v>11</v>
      </c>
      <c r="D402" t="s">
        <v>12</v>
      </c>
      <c r="E402">
        <v>0.7994</v>
      </c>
      <c r="F402">
        <v>0.22140000000000001</v>
      </c>
      <c r="G402">
        <v>4.2218</v>
      </c>
      <c r="H402">
        <v>338</v>
      </c>
      <c r="I402">
        <v>463</v>
      </c>
      <c r="J402">
        <v>137.68</v>
      </c>
      <c r="K402">
        <v>2</v>
      </c>
    </row>
    <row r="403" spans="1:12" x14ac:dyDescent="0.25">
      <c r="A403" t="s">
        <v>14</v>
      </c>
      <c r="B403">
        <v>52</v>
      </c>
      <c r="C403">
        <v>12</v>
      </c>
      <c r="D403" t="s">
        <v>12</v>
      </c>
      <c r="E403">
        <v>0.25190000000000001</v>
      </c>
      <c r="F403">
        <v>0</v>
      </c>
      <c r="G403">
        <v>4.2218</v>
      </c>
      <c r="H403">
        <v>338</v>
      </c>
      <c r="I403">
        <v>463</v>
      </c>
      <c r="J403">
        <v>137.68</v>
      </c>
      <c r="K403">
        <v>2</v>
      </c>
    </row>
    <row r="404" spans="1:12" x14ac:dyDescent="0.25">
      <c r="A404" t="s">
        <v>14</v>
      </c>
      <c r="B404">
        <v>52</v>
      </c>
      <c r="C404">
        <v>13</v>
      </c>
      <c r="D404" t="s">
        <v>12</v>
      </c>
      <c r="E404">
        <v>0.24</v>
      </c>
      <c r="F404">
        <v>0</v>
      </c>
      <c r="G404">
        <v>4.2218</v>
      </c>
      <c r="H404">
        <v>338</v>
      </c>
      <c r="I404">
        <v>463</v>
      </c>
      <c r="J404">
        <v>137.68</v>
      </c>
      <c r="K404">
        <v>2</v>
      </c>
    </row>
    <row r="405" spans="1:12" x14ac:dyDescent="0.25">
      <c r="A405" t="s">
        <v>14</v>
      </c>
      <c r="B405">
        <v>52</v>
      </c>
      <c r="C405">
        <v>14</v>
      </c>
      <c r="D405" t="s">
        <v>12</v>
      </c>
      <c r="E405">
        <v>0.2243</v>
      </c>
      <c r="F405">
        <v>0</v>
      </c>
      <c r="G405">
        <v>4.2218</v>
      </c>
      <c r="H405">
        <v>338</v>
      </c>
      <c r="I405">
        <v>463</v>
      </c>
      <c r="J405">
        <v>137.68</v>
      </c>
      <c r="K405">
        <v>2</v>
      </c>
    </row>
    <row r="406" spans="1:12" x14ac:dyDescent="0.25">
      <c r="A406" t="s">
        <v>14</v>
      </c>
      <c r="B406">
        <v>52</v>
      </c>
      <c r="C406">
        <v>15</v>
      </c>
      <c r="D406" t="s">
        <v>12</v>
      </c>
      <c r="E406">
        <v>0.74080000000000001</v>
      </c>
      <c r="F406">
        <v>0.23699999999999999</v>
      </c>
      <c r="G406">
        <v>4.2218</v>
      </c>
      <c r="H406">
        <v>338</v>
      </c>
      <c r="I406">
        <v>463</v>
      </c>
      <c r="J406">
        <v>137.68</v>
      </c>
      <c r="K406">
        <v>2</v>
      </c>
    </row>
    <row r="407" spans="1:12" x14ac:dyDescent="0.25">
      <c r="A407" t="s">
        <v>14</v>
      </c>
      <c r="B407">
        <v>52</v>
      </c>
      <c r="C407">
        <v>16</v>
      </c>
      <c r="D407" t="s">
        <v>12</v>
      </c>
      <c r="E407">
        <v>0.21329999999999999</v>
      </c>
      <c r="F407">
        <v>0</v>
      </c>
      <c r="G407">
        <v>4.2218</v>
      </c>
      <c r="H407">
        <v>338</v>
      </c>
      <c r="I407">
        <v>463</v>
      </c>
      <c r="J407">
        <v>137.68</v>
      </c>
      <c r="K407">
        <v>2</v>
      </c>
    </row>
    <row r="408" spans="1:12" x14ac:dyDescent="0.25">
      <c r="A408" t="s">
        <v>14</v>
      </c>
      <c r="B408">
        <v>52</v>
      </c>
      <c r="C408">
        <v>17</v>
      </c>
      <c r="D408" t="s">
        <v>12</v>
      </c>
      <c r="E408">
        <v>0.21829999999999999</v>
      </c>
      <c r="F408">
        <v>0</v>
      </c>
      <c r="G408">
        <v>4.2218</v>
      </c>
      <c r="H408">
        <v>338</v>
      </c>
      <c r="I408">
        <v>463</v>
      </c>
      <c r="J408">
        <v>137.68</v>
      </c>
      <c r="K408">
        <v>2</v>
      </c>
    </row>
    <row r="409" spans="1:12" x14ac:dyDescent="0.25">
      <c r="A409" t="s">
        <v>14</v>
      </c>
      <c r="B409">
        <v>55</v>
      </c>
      <c r="C409">
        <v>1</v>
      </c>
      <c r="D409" t="s">
        <v>12</v>
      </c>
      <c r="E409">
        <v>1.0357000000000001</v>
      </c>
      <c r="F409">
        <v>0.41539999999999999</v>
      </c>
      <c r="G409">
        <v>5.4234</v>
      </c>
      <c r="H409">
        <v>334</v>
      </c>
      <c r="I409">
        <v>468</v>
      </c>
      <c r="J409">
        <v>108.97</v>
      </c>
      <c r="K409">
        <v>1</v>
      </c>
      <c r="L409">
        <v>16.2</v>
      </c>
    </row>
    <row r="410" spans="1:12" x14ac:dyDescent="0.25">
      <c r="A410" t="s">
        <v>14</v>
      </c>
      <c r="B410">
        <v>55</v>
      </c>
      <c r="C410">
        <v>2</v>
      </c>
      <c r="D410" t="s">
        <v>12</v>
      </c>
      <c r="E410">
        <v>0.35859999999999997</v>
      </c>
      <c r="F410">
        <v>0.88749999999999996</v>
      </c>
      <c r="G410">
        <v>5.4234</v>
      </c>
      <c r="H410">
        <v>334</v>
      </c>
      <c r="I410">
        <v>468</v>
      </c>
      <c r="J410">
        <v>108.97</v>
      </c>
      <c r="K410">
        <v>1</v>
      </c>
      <c r="L410">
        <v>13.8</v>
      </c>
    </row>
    <row r="411" spans="1:12" x14ac:dyDescent="0.25">
      <c r="A411" t="s">
        <v>14</v>
      </c>
      <c r="B411">
        <v>55</v>
      </c>
      <c r="C411">
        <v>3</v>
      </c>
      <c r="D411" t="s">
        <v>12</v>
      </c>
      <c r="E411">
        <v>0.94099999999999995</v>
      </c>
      <c r="F411">
        <v>0.35239999999999999</v>
      </c>
      <c r="G411">
        <v>5.4234</v>
      </c>
      <c r="H411">
        <v>334</v>
      </c>
      <c r="I411">
        <v>468</v>
      </c>
      <c r="J411">
        <v>108.97</v>
      </c>
      <c r="K411">
        <v>1</v>
      </c>
      <c r="L411">
        <v>12.2</v>
      </c>
    </row>
    <row r="412" spans="1:12" x14ac:dyDescent="0.25">
      <c r="A412" t="s">
        <v>14</v>
      </c>
      <c r="B412">
        <v>55</v>
      </c>
      <c r="C412">
        <v>4</v>
      </c>
      <c r="D412" t="s">
        <v>11</v>
      </c>
      <c r="E412">
        <v>0.91849999999999998</v>
      </c>
      <c r="F412">
        <v>0.33289999999999997</v>
      </c>
      <c r="G412">
        <v>5.4234</v>
      </c>
      <c r="H412">
        <v>334</v>
      </c>
      <c r="I412">
        <v>468</v>
      </c>
      <c r="J412">
        <v>108.97</v>
      </c>
      <c r="K412">
        <v>1</v>
      </c>
      <c r="L412">
        <v>10</v>
      </c>
    </row>
    <row r="413" spans="1:12" x14ac:dyDescent="0.25">
      <c r="A413" t="s">
        <v>14</v>
      </c>
      <c r="B413">
        <v>55</v>
      </c>
      <c r="C413">
        <v>5</v>
      </c>
      <c r="D413" t="s">
        <v>12</v>
      </c>
      <c r="E413">
        <v>0.96209999999999996</v>
      </c>
      <c r="F413">
        <v>0.35170000000000001</v>
      </c>
      <c r="G413">
        <v>5.4234</v>
      </c>
      <c r="H413">
        <v>334</v>
      </c>
      <c r="I413">
        <v>468</v>
      </c>
      <c r="J413">
        <v>108.97</v>
      </c>
      <c r="K413">
        <v>1</v>
      </c>
      <c r="L413">
        <v>15.4</v>
      </c>
    </row>
    <row r="414" spans="1:12" x14ac:dyDescent="0.25">
      <c r="A414" t="s">
        <v>14</v>
      </c>
      <c r="B414">
        <v>55</v>
      </c>
      <c r="C414">
        <v>6</v>
      </c>
      <c r="D414" t="s">
        <v>12</v>
      </c>
      <c r="E414">
        <v>0.83520000000000005</v>
      </c>
      <c r="F414">
        <v>0.28289999999999998</v>
      </c>
      <c r="G414">
        <v>5.4234</v>
      </c>
      <c r="H414">
        <v>334</v>
      </c>
      <c r="I414">
        <v>468</v>
      </c>
      <c r="J414">
        <v>108.97</v>
      </c>
      <c r="K414">
        <v>1</v>
      </c>
      <c r="L414">
        <v>15.2</v>
      </c>
    </row>
    <row r="415" spans="1:12" x14ac:dyDescent="0.25">
      <c r="A415" t="s">
        <v>14</v>
      </c>
      <c r="B415">
        <v>55</v>
      </c>
      <c r="C415">
        <v>7</v>
      </c>
      <c r="D415" t="s">
        <v>11</v>
      </c>
      <c r="E415">
        <v>0.32390000000000002</v>
      </c>
      <c r="F415">
        <v>0</v>
      </c>
      <c r="G415">
        <v>5.4234</v>
      </c>
      <c r="H415">
        <v>334</v>
      </c>
      <c r="I415">
        <v>468</v>
      </c>
      <c r="J415">
        <v>108.97</v>
      </c>
      <c r="K415">
        <v>1</v>
      </c>
      <c r="L415">
        <v>19.2</v>
      </c>
    </row>
    <row r="416" spans="1:12" x14ac:dyDescent="0.25">
      <c r="A416" t="s">
        <v>14</v>
      </c>
      <c r="B416">
        <v>55</v>
      </c>
      <c r="C416">
        <v>8</v>
      </c>
      <c r="D416" t="s">
        <v>11</v>
      </c>
      <c r="E416">
        <v>0.88649999999999995</v>
      </c>
      <c r="F416">
        <v>0.28789999999999999</v>
      </c>
      <c r="G416">
        <v>5.4234</v>
      </c>
      <c r="H416">
        <v>334</v>
      </c>
      <c r="I416">
        <v>468</v>
      </c>
      <c r="J416">
        <v>108.97</v>
      </c>
      <c r="K416">
        <v>1</v>
      </c>
      <c r="L416">
        <v>18.2</v>
      </c>
    </row>
    <row r="417" spans="1:12" x14ac:dyDescent="0.25">
      <c r="A417" t="s">
        <v>14</v>
      </c>
      <c r="B417">
        <v>55</v>
      </c>
      <c r="C417">
        <v>9</v>
      </c>
      <c r="D417" t="s">
        <v>12</v>
      </c>
      <c r="E417">
        <v>0.90700000000000003</v>
      </c>
      <c r="F417">
        <v>0.28589999999999999</v>
      </c>
      <c r="G417">
        <v>5.4234</v>
      </c>
      <c r="H417">
        <v>334</v>
      </c>
      <c r="I417">
        <v>468</v>
      </c>
      <c r="J417">
        <v>108.97</v>
      </c>
      <c r="K417">
        <v>1</v>
      </c>
    </row>
    <row r="418" spans="1:12" x14ac:dyDescent="0.25">
      <c r="A418" t="s">
        <v>14</v>
      </c>
      <c r="B418">
        <v>55</v>
      </c>
      <c r="C418">
        <v>10</v>
      </c>
      <c r="D418" t="s">
        <v>11</v>
      </c>
      <c r="E418">
        <v>0.27039999999999997</v>
      </c>
      <c r="F418">
        <v>0</v>
      </c>
      <c r="G418">
        <v>5.4234</v>
      </c>
      <c r="H418">
        <v>334</v>
      </c>
      <c r="I418">
        <v>468</v>
      </c>
      <c r="J418">
        <v>108.97</v>
      </c>
      <c r="K418">
        <v>2</v>
      </c>
      <c r="L418">
        <v>16.2</v>
      </c>
    </row>
    <row r="419" spans="1:12" x14ac:dyDescent="0.25">
      <c r="A419" t="s">
        <v>14</v>
      </c>
      <c r="B419">
        <v>55</v>
      </c>
      <c r="C419">
        <v>11</v>
      </c>
      <c r="D419" t="s">
        <v>12</v>
      </c>
      <c r="E419">
        <v>0.82310000000000005</v>
      </c>
      <c r="F419">
        <v>0.2959</v>
      </c>
      <c r="G419">
        <v>5.4234</v>
      </c>
      <c r="H419">
        <v>334</v>
      </c>
      <c r="I419">
        <v>468</v>
      </c>
      <c r="J419">
        <v>108.97</v>
      </c>
      <c r="K419">
        <v>2</v>
      </c>
      <c r="L419">
        <v>16.2</v>
      </c>
    </row>
    <row r="420" spans="1:12" x14ac:dyDescent="0.25">
      <c r="A420" t="s">
        <v>14</v>
      </c>
      <c r="B420">
        <v>55</v>
      </c>
      <c r="C420">
        <v>12</v>
      </c>
      <c r="D420" t="s">
        <v>12</v>
      </c>
      <c r="E420">
        <v>0.76060000000000005</v>
      </c>
      <c r="F420">
        <v>0.23369999999999999</v>
      </c>
      <c r="G420">
        <v>5.4234</v>
      </c>
      <c r="H420">
        <v>334</v>
      </c>
      <c r="I420">
        <v>468</v>
      </c>
      <c r="J420">
        <v>108.97</v>
      </c>
      <c r="K420">
        <v>2</v>
      </c>
      <c r="L420">
        <v>17.600000000000001</v>
      </c>
    </row>
    <row r="421" spans="1:12" x14ac:dyDescent="0.25">
      <c r="A421" t="s">
        <v>14</v>
      </c>
      <c r="B421">
        <v>55</v>
      </c>
      <c r="C421">
        <v>13</v>
      </c>
      <c r="D421" t="s">
        <v>11</v>
      </c>
      <c r="E421">
        <v>0.77610000000000001</v>
      </c>
      <c r="F421">
        <v>0.1731</v>
      </c>
      <c r="G421">
        <v>5.4234</v>
      </c>
      <c r="H421">
        <v>334</v>
      </c>
      <c r="I421">
        <v>468</v>
      </c>
      <c r="J421">
        <v>108.97</v>
      </c>
      <c r="K421">
        <v>2</v>
      </c>
      <c r="L421">
        <v>18.600000000000001</v>
      </c>
    </row>
    <row r="422" spans="1:12" x14ac:dyDescent="0.25">
      <c r="A422" t="s">
        <v>14</v>
      </c>
      <c r="B422">
        <v>55</v>
      </c>
      <c r="C422">
        <v>14</v>
      </c>
      <c r="D422" t="s">
        <v>11</v>
      </c>
      <c r="E422">
        <v>0.23300000000000001</v>
      </c>
      <c r="F422">
        <v>0</v>
      </c>
      <c r="G422">
        <v>5.4234</v>
      </c>
      <c r="H422">
        <v>334</v>
      </c>
      <c r="I422">
        <v>468</v>
      </c>
      <c r="J422">
        <v>108.97</v>
      </c>
      <c r="K422">
        <v>2</v>
      </c>
      <c r="L422">
        <v>17</v>
      </c>
    </row>
    <row r="423" spans="1:12" x14ac:dyDescent="0.25">
      <c r="A423" t="s">
        <v>14</v>
      </c>
      <c r="B423">
        <v>55</v>
      </c>
      <c r="C423">
        <v>15</v>
      </c>
      <c r="D423" t="s">
        <v>12</v>
      </c>
      <c r="E423">
        <v>0.74129999999999996</v>
      </c>
      <c r="F423">
        <v>0.2606</v>
      </c>
      <c r="G423">
        <v>5.4234</v>
      </c>
      <c r="H423">
        <v>334</v>
      </c>
      <c r="I423">
        <v>468</v>
      </c>
      <c r="J423">
        <v>108.97</v>
      </c>
      <c r="K423">
        <v>2</v>
      </c>
      <c r="L423">
        <v>17.8</v>
      </c>
    </row>
    <row r="424" spans="1:12" x14ac:dyDescent="0.25">
      <c r="A424" t="s">
        <v>14</v>
      </c>
      <c r="B424">
        <v>55</v>
      </c>
      <c r="C424">
        <v>16</v>
      </c>
      <c r="D424" t="s">
        <v>11</v>
      </c>
      <c r="E424">
        <v>0.56689999999999996</v>
      </c>
      <c r="F424">
        <v>0.1031</v>
      </c>
      <c r="G424">
        <v>5.4234</v>
      </c>
      <c r="H424">
        <v>334</v>
      </c>
      <c r="I424">
        <v>468</v>
      </c>
      <c r="J424">
        <v>108.97</v>
      </c>
      <c r="K424">
        <v>2</v>
      </c>
      <c r="L424">
        <v>18.2</v>
      </c>
    </row>
    <row r="425" spans="1:12" x14ac:dyDescent="0.25">
      <c r="A425" t="s">
        <v>14</v>
      </c>
      <c r="B425">
        <v>55</v>
      </c>
      <c r="C425">
        <v>17</v>
      </c>
      <c r="D425" t="s">
        <v>11</v>
      </c>
      <c r="E425">
        <v>0.20250000000000001</v>
      </c>
      <c r="F425">
        <v>0</v>
      </c>
      <c r="G425">
        <v>5.4234</v>
      </c>
      <c r="H425">
        <v>334</v>
      </c>
      <c r="I425">
        <v>468</v>
      </c>
      <c r="J425">
        <v>108.97</v>
      </c>
      <c r="K425">
        <v>2</v>
      </c>
      <c r="L425">
        <v>18</v>
      </c>
    </row>
    <row r="426" spans="1:12" x14ac:dyDescent="0.25">
      <c r="A426" t="s">
        <v>14</v>
      </c>
      <c r="B426">
        <v>55</v>
      </c>
      <c r="C426">
        <v>18</v>
      </c>
      <c r="D426" t="s">
        <v>11</v>
      </c>
      <c r="E426">
        <v>0.51549999999999996</v>
      </c>
      <c r="F426">
        <v>8.3599999999999994E-2</v>
      </c>
      <c r="G426">
        <v>5.4234</v>
      </c>
      <c r="H426">
        <v>334</v>
      </c>
      <c r="I426">
        <v>468</v>
      </c>
      <c r="J426">
        <v>108.97</v>
      </c>
      <c r="K426">
        <v>2</v>
      </c>
      <c r="L426">
        <v>15.4</v>
      </c>
    </row>
    <row r="427" spans="1:12" x14ac:dyDescent="0.25">
      <c r="A427" t="s">
        <v>14</v>
      </c>
      <c r="B427">
        <v>55</v>
      </c>
      <c r="C427">
        <v>19</v>
      </c>
      <c r="D427" t="s">
        <v>12</v>
      </c>
      <c r="E427">
        <v>0.18809999999999999</v>
      </c>
      <c r="F427">
        <v>0</v>
      </c>
      <c r="G427">
        <v>5.4234</v>
      </c>
      <c r="H427">
        <v>334</v>
      </c>
      <c r="I427">
        <v>468</v>
      </c>
      <c r="J427">
        <v>108.97</v>
      </c>
      <c r="K427">
        <v>2</v>
      </c>
    </row>
    <row r="428" spans="1:12" x14ac:dyDescent="0.25">
      <c r="A428" t="s">
        <v>14</v>
      </c>
      <c r="B428">
        <v>56</v>
      </c>
      <c r="C428">
        <v>1</v>
      </c>
      <c r="D428" t="s">
        <v>12</v>
      </c>
      <c r="E428">
        <v>0.36709999999999998</v>
      </c>
      <c r="F428">
        <v>0</v>
      </c>
      <c r="G428">
        <v>5.9869000000000003</v>
      </c>
      <c r="H428">
        <v>298</v>
      </c>
      <c r="I428">
        <v>502</v>
      </c>
      <c r="J428">
        <v>126.48</v>
      </c>
      <c r="K428">
        <v>1</v>
      </c>
    </row>
    <row r="429" spans="1:12" x14ac:dyDescent="0.25">
      <c r="A429" t="s">
        <v>14</v>
      </c>
      <c r="B429">
        <v>56</v>
      </c>
      <c r="C429">
        <v>2</v>
      </c>
      <c r="D429" t="s">
        <v>12</v>
      </c>
      <c r="E429">
        <v>0.72370000000000001</v>
      </c>
      <c r="F429">
        <v>7.9699999999999993E-2</v>
      </c>
      <c r="G429">
        <v>5.9869000000000003</v>
      </c>
      <c r="H429">
        <v>298</v>
      </c>
      <c r="I429">
        <v>502</v>
      </c>
      <c r="J429">
        <v>126.48</v>
      </c>
      <c r="K429">
        <v>1</v>
      </c>
    </row>
    <row r="430" spans="1:12" x14ac:dyDescent="0.25">
      <c r="A430" t="s">
        <v>14</v>
      </c>
      <c r="B430">
        <v>56</v>
      </c>
      <c r="C430">
        <v>3</v>
      </c>
      <c r="D430" t="s">
        <v>12</v>
      </c>
      <c r="E430">
        <v>0.57930000000000004</v>
      </c>
      <c r="F430">
        <v>3.1600000000000003E-2</v>
      </c>
      <c r="G430">
        <v>5.9869000000000003</v>
      </c>
      <c r="H430">
        <v>298</v>
      </c>
      <c r="I430">
        <v>502</v>
      </c>
      <c r="J430">
        <v>126.48</v>
      </c>
      <c r="K430">
        <v>1</v>
      </c>
    </row>
    <row r="431" spans="1:12" x14ac:dyDescent="0.25">
      <c r="A431" t="s">
        <v>14</v>
      </c>
      <c r="B431">
        <v>56</v>
      </c>
      <c r="C431">
        <v>4</v>
      </c>
      <c r="D431" t="s">
        <v>12</v>
      </c>
      <c r="E431">
        <v>0.77569999999999995</v>
      </c>
      <c r="F431">
        <v>0.1075</v>
      </c>
      <c r="G431">
        <v>5.9869000000000003</v>
      </c>
      <c r="H431">
        <v>298</v>
      </c>
      <c r="I431">
        <v>502</v>
      </c>
      <c r="J431">
        <v>126.48</v>
      </c>
      <c r="K431">
        <v>1</v>
      </c>
    </row>
    <row r="432" spans="1:12" x14ac:dyDescent="0.25">
      <c r="A432" t="s">
        <v>14</v>
      </c>
      <c r="B432">
        <v>56</v>
      </c>
      <c r="C432">
        <v>5</v>
      </c>
      <c r="D432" t="s">
        <v>12</v>
      </c>
      <c r="E432">
        <v>0.54620000000000002</v>
      </c>
      <c r="F432">
        <v>1.9900000000000001E-2</v>
      </c>
      <c r="G432">
        <v>5.9869000000000003</v>
      </c>
      <c r="H432">
        <v>298</v>
      </c>
      <c r="I432">
        <v>502</v>
      </c>
      <c r="J432">
        <v>126.48</v>
      </c>
      <c r="K432">
        <v>1</v>
      </c>
    </row>
    <row r="433" spans="1:11" x14ac:dyDescent="0.25">
      <c r="A433" t="s">
        <v>14</v>
      </c>
      <c r="B433">
        <v>56</v>
      </c>
      <c r="C433">
        <v>6</v>
      </c>
      <c r="D433" t="s">
        <v>12</v>
      </c>
      <c r="E433">
        <v>0.82650000000000001</v>
      </c>
      <c r="F433">
        <v>0.14799999999999999</v>
      </c>
      <c r="G433">
        <v>5.9869000000000003</v>
      </c>
      <c r="H433">
        <v>298</v>
      </c>
      <c r="I433">
        <v>502</v>
      </c>
      <c r="J433">
        <v>126.48</v>
      </c>
      <c r="K433">
        <v>1</v>
      </c>
    </row>
    <row r="434" spans="1:11" x14ac:dyDescent="0.25">
      <c r="A434" t="s">
        <v>14</v>
      </c>
      <c r="B434">
        <v>56</v>
      </c>
      <c r="C434">
        <v>7</v>
      </c>
      <c r="D434" t="s">
        <v>12</v>
      </c>
      <c r="E434">
        <v>0.56189999999999996</v>
      </c>
      <c r="F434">
        <v>2.75E-2</v>
      </c>
      <c r="G434">
        <v>5.9869000000000003</v>
      </c>
      <c r="H434">
        <v>298</v>
      </c>
      <c r="I434">
        <v>502</v>
      </c>
      <c r="J434">
        <v>126.48</v>
      </c>
      <c r="K434">
        <v>1</v>
      </c>
    </row>
    <row r="435" spans="1:11" x14ac:dyDescent="0.25">
      <c r="A435" t="s">
        <v>14</v>
      </c>
      <c r="B435">
        <v>56</v>
      </c>
      <c r="C435">
        <v>8</v>
      </c>
      <c r="D435" t="s">
        <v>12</v>
      </c>
      <c r="E435">
        <v>0.90169999999999995</v>
      </c>
      <c r="F435">
        <v>0.24840000000000001</v>
      </c>
      <c r="G435">
        <v>5.9869000000000003</v>
      </c>
      <c r="H435">
        <v>298</v>
      </c>
      <c r="I435">
        <v>502</v>
      </c>
      <c r="J435">
        <v>126.48</v>
      </c>
      <c r="K435">
        <v>1</v>
      </c>
    </row>
    <row r="436" spans="1:11" x14ac:dyDescent="0.25">
      <c r="A436" t="s">
        <v>14</v>
      </c>
      <c r="B436">
        <v>56</v>
      </c>
      <c r="C436">
        <v>9</v>
      </c>
      <c r="D436" t="s">
        <v>12</v>
      </c>
      <c r="E436">
        <v>0.33050000000000002</v>
      </c>
      <c r="F436">
        <v>2.0000000000000001E-4</v>
      </c>
      <c r="G436">
        <v>5.9869000000000003</v>
      </c>
      <c r="H436">
        <v>298</v>
      </c>
      <c r="I436">
        <v>502</v>
      </c>
      <c r="J436">
        <v>126.48</v>
      </c>
      <c r="K436">
        <v>2</v>
      </c>
    </row>
    <row r="437" spans="1:11" x14ac:dyDescent="0.25">
      <c r="A437" t="s">
        <v>14</v>
      </c>
      <c r="B437">
        <v>56</v>
      </c>
      <c r="C437">
        <v>10</v>
      </c>
      <c r="D437" t="s">
        <v>12</v>
      </c>
      <c r="E437">
        <v>0.8921</v>
      </c>
      <c r="F437">
        <v>0.27779999999999999</v>
      </c>
      <c r="G437">
        <v>5.9869000000000003</v>
      </c>
      <c r="H437">
        <v>298</v>
      </c>
      <c r="I437">
        <v>502</v>
      </c>
      <c r="J437">
        <v>126.48</v>
      </c>
      <c r="K437">
        <v>2</v>
      </c>
    </row>
    <row r="438" spans="1:11" x14ac:dyDescent="0.25">
      <c r="A438" t="s">
        <v>14</v>
      </c>
      <c r="B438">
        <v>56</v>
      </c>
      <c r="C438">
        <v>11</v>
      </c>
      <c r="D438" t="s">
        <v>12</v>
      </c>
      <c r="E438">
        <v>0.28539999999999999</v>
      </c>
      <c r="F438">
        <v>0</v>
      </c>
      <c r="G438">
        <v>5.9869000000000003</v>
      </c>
      <c r="H438">
        <v>298</v>
      </c>
      <c r="I438">
        <v>502</v>
      </c>
      <c r="J438">
        <v>126.48</v>
      </c>
      <c r="K438">
        <v>2</v>
      </c>
    </row>
    <row r="439" spans="1:11" x14ac:dyDescent="0.25">
      <c r="A439" t="s">
        <v>14</v>
      </c>
      <c r="B439">
        <v>56</v>
      </c>
      <c r="C439">
        <v>12</v>
      </c>
      <c r="D439" t="s">
        <v>12</v>
      </c>
      <c r="E439">
        <v>0.75819999999999999</v>
      </c>
      <c r="F439">
        <v>0.18149999999999999</v>
      </c>
      <c r="G439">
        <v>5.9869000000000003</v>
      </c>
      <c r="H439">
        <v>298</v>
      </c>
      <c r="I439">
        <v>502</v>
      </c>
      <c r="J439">
        <v>126.48</v>
      </c>
      <c r="K439">
        <v>2</v>
      </c>
    </row>
    <row r="440" spans="1:11" x14ac:dyDescent="0.25">
      <c r="A440" t="s">
        <v>14</v>
      </c>
      <c r="B440">
        <v>56</v>
      </c>
      <c r="C440">
        <v>13</v>
      </c>
      <c r="D440" t="s">
        <v>12</v>
      </c>
      <c r="E440">
        <v>0.2213</v>
      </c>
      <c r="F440">
        <v>0</v>
      </c>
      <c r="G440">
        <v>5.9869000000000003</v>
      </c>
      <c r="H440">
        <v>298</v>
      </c>
      <c r="I440">
        <v>502</v>
      </c>
      <c r="J440">
        <v>126.48</v>
      </c>
      <c r="K440">
        <v>2</v>
      </c>
    </row>
    <row r="441" spans="1:11" x14ac:dyDescent="0.25">
      <c r="A441" t="s">
        <v>14</v>
      </c>
      <c r="B441">
        <v>56</v>
      </c>
      <c r="C441">
        <v>14</v>
      </c>
      <c r="D441" t="s">
        <v>12</v>
      </c>
      <c r="E441">
        <v>0.68259999999999998</v>
      </c>
      <c r="F441">
        <v>0.1867</v>
      </c>
      <c r="G441">
        <v>5.9869000000000003</v>
      </c>
      <c r="H441">
        <v>298</v>
      </c>
      <c r="I441">
        <v>502</v>
      </c>
      <c r="J441">
        <v>126.48</v>
      </c>
      <c r="K441">
        <v>2</v>
      </c>
    </row>
    <row r="442" spans="1:11" x14ac:dyDescent="0.25">
      <c r="A442" t="s">
        <v>14</v>
      </c>
      <c r="B442">
        <v>56</v>
      </c>
      <c r="C442">
        <v>15</v>
      </c>
      <c r="D442" t="s">
        <v>12</v>
      </c>
      <c r="E442">
        <v>0.10539999999999999</v>
      </c>
      <c r="F442">
        <v>0</v>
      </c>
      <c r="G442">
        <v>5.9869000000000003</v>
      </c>
      <c r="H442">
        <v>298</v>
      </c>
      <c r="I442">
        <v>502</v>
      </c>
      <c r="J442">
        <v>126.48</v>
      </c>
      <c r="K442">
        <v>2</v>
      </c>
    </row>
    <row r="443" spans="1:11" x14ac:dyDescent="0.25">
      <c r="A443" t="s">
        <v>14</v>
      </c>
      <c r="B443">
        <v>56</v>
      </c>
      <c r="C443">
        <v>16</v>
      </c>
      <c r="D443" t="s">
        <v>12</v>
      </c>
      <c r="E443">
        <v>0.2278</v>
      </c>
      <c r="F443">
        <v>0</v>
      </c>
      <c r="G443">
        <v>5.9869000000000003</v>
      </c>
      <c r="H443">
        <v>298</v>
      </c>
      <c r="I443">
        <v>502</v>
      </c>
      <c r="J443">
        <v>126.48</v>
      </c>
      <c r="K443">
        <v>2</v>
      </c>
    </row>
    <row r="444" spans="1:11" x14ac:dyDescent="0.25">
      <c r="A444" t="s">
        <v>14</v>
      </c>
      <c r="B444">
        <v>56</v>
      </c>
      <c r="C444">
        <v>17</v>
      </c>
      <c r="D444" t="s">
        <v>12</v>
      </c>
      <c r="E444">
        <v>7.9699999999999993E-2</v>
      </c>
      <c r="F444">
        <v>0</v>
      </c>
      <c r="G444">
        <v>5.9869000000000003</v>
      </c>
      <c r="H444">
        <v>298</v>
      </c>
      <c r="I444">
        <v>502</v>
      </c>
      <c r="J444">
        <v>126.48</v>
      </c>
      <c r="K444">
        <v>2</v>
      </c>
    </row>
    <row r="445" spans="1:11" x14ac:dyDescent="0.25">
      <c r="A445" t="s">
        <v>14</v>
      </c>
      <c r="B445">
        <v>56</v>
      </c>
      <c r="C445">
        <v>18</v>
      </c>
      <c r="D445" t="s">
        <v>12</v>
      </c>
      <c r="E445">
        <v>0.64470000000000005</v>
      </c>
      <c r="F445">
        <v>0.14760000000000001</v>
      </c>
      <c r="G445">
        <v>5.9869000000000003</v>
      </c>
      <c r="H445">
        <v>298</v>
      </c>
      <c r="I445">
        <v>502</v>
      </c>
      <c r="J445">
        <v>126.48</v>
      </c>
      <c r="K445">
        <v>2</v>
      </c>
    </row>
    <row r="446" spans="1:11" x14ac:dyDescent="0.25">
      <c r="A446" t="s">
        <v>14</v>
      </c>
      <c r="B446">
        <v>61</v>
      </c>
      <c r="C446">
        <v>1</v>
      </c>
      <c r="D446" t="s">
        <v>12</v>
      </c>
      <c r="E446">
        <v>0.84409999999999996</v>
      </c>
      <c r="F446">
        <v>0.13650000000000001</v>
      </c>
      <c r="G446">
        <v>5.0143000000000004</v>
      </c>
      <c r="H446">
        <v>324</v>
      </c>
      <c r="I446">
        <v>476</v>
      </c>
      <c r="J446">
        <v>208.79</v>
      </c>
      <c r="K446">
        <v>1</v>
      </c>
    </row>
    <row r="447" spans="1:11" x14ac:dyDescent="0.25">
      <c r="A447" t="s">
        <v>14</v>
      </c>
      <c r="B447">
        <v>61</v>
      </c>
      <c r="C447">
        <v>2</v>
      </c>
      <c r="D447" t="s">
        <v>12</v>
      </c>
      <c r="E447">
        <v>0.34899999999999998</v>
      </c>
      <c r="F447">
        <v>0</v>
      </c>
      <c r="G447">
        <v>5.0143000000000004</v>
      </c>
      <c r="H447">
        <v>324</v>
      </c>
      <c r="I447">
        <v>476</v>
      </c>
      <c r="J447">
        <v>208.79</v>
      </c>
      <c r="K447">
        <v>1</v>
      </c>
    </row>
    <row r="448" spans="1:11" x14ac:dyDescent="0.25">
      <c r="A448" t="s">
        <v>14</v>
      </c>
      <c r="B448">
        <v>61</v>
      </c>
      <c r="C448">
        <v>3</v>
      </c>
      <c r="D448" t="s">
        <v>12</v>
      </c>
      <c r="E448">
        <v>0.92</v>
      </c>
      <c r="F448">
        <v>0.18340000000000001</v>
      </c>
      <c r="G448">
        <v>5.0143000000000004</v>
      </c>
      <c r="H448">
        <v>324</v>
      </c>
      <c r="I448">
        <v>476</v>
      </c>
      <c r="J448">
        <v>208.79</v>
      </c>
      <c r="K448">
        <v>1</v>
      </c>
    </row>
    <row r="449" spans="1:11" x14ac:dyDescent="0.25">
      <c r="A449" t="s">
        <v>14</v>
      </c>
      <c r="B449">
        <v>61</v>
      </c>
      <c r="C449">
        <v>4</v>
      </c>
      <c r="D449" t="s">
        <v>12</v>
      </c>
      <c r="E449">
        <v>1.0564</v>
      </c>
      <c r="F449">
        <v>0.3654</v>
      </c>
      <c r="G449">
        <v>5.0143000000000004</v>
      </c>
      <c r="H449">
        <v>324</v>
      </c>
      <c r="I449">
        <v>476</v>
      </c>
      <c r="J449">
        <v>208.79</v>
      </c>
      <c r="K449">
        <v>1</v>
      </c>
    </row>
    <row r="450" spans="1:11" x14ac:dyDescent="0.25">
      <c r="A450" t="s">
        <v>14</v>
      </c>
      <c r="B450">
        <v>61</v>
      </c>
      <c r="C450">
        <v>5</v>
      </c>
      <c r="D450" t="s">
        <v>12</v>
      </c>
      <c r="E450">
        <v>1.0157</v>
      </c>
      <c r="F450">
        <v>0.35389999999999999</v>
      </c>
      <c r="G450">
        <v>5.0143000000000004</v>
      </c>
      <c r="H450">
        <v>324</v>
      </c>
      <c r="I450">
        <v>476</v>
      </c>
      <c r="J450">
        <v>208.79</v>
      </c>
      <c r="K450">
        <v>1</v>
      </c>
    </row>
    <row r="451" spans="1:11" x14ac:dyDescent="0.25">
      <c r="A451" t="s">
        <v>14</v>
      </c>
      <c r="B451">
        <v>61</v>
      </c>
      <c r="C451">
        <v>6</v>
      </c>
      <c r="D451" t="s">
        <v>12</v>
      </c>
      <c r="E451">
        <v>1.0577000000000001</v>
      </c>
      <c r="F451">
        <v>0.36370000000000002</v>
      </c>
      <c r="G451">
        <v>5.0143000000000004</v>
      </c>
      <c r="H451">
        <v>324</v>
      </c>
      <c r="I451">
        <v>476</v>
      </c>
      <c r="J451">
        <v>208.79</v>
      </c>
      <c r="K451">
        <v>1</v>
      </c>
    </row>
    <row r="452" spans="1:11" x14ac:dyDescent="0.25">
      <c r="A452" t="s">
        <v>14</v>
      </c>
      <c r="B452">
        <v>61</v>
      </c>
      <c r="C452">
        <v>7</v>
      </c>
      <c r="D452" t="s">
        <v>12</v>
      </c>
      <c r="E452">
        <v>1.1222000000000001</v>
      </c>
      <c r="F452">
        <v>0.40210000000000001</v>
      </c>
      <c r="G452">
        <v>5.0143000000000004</v>
      </c>
      <c r="H452">
        <v>324</v>
      </c>
      <c r="I452">
        <v>476</v>
      </c>
      <c r="J452">
        <v>208.79</v>
      </c>
      <c r="K452">
        <v>1</v>
      </c>
    </row>
    <row r="453" spans="1:11" x14ac:dyDescent="0.25">
      <c r="A453" t="s">
        <v>14</v>
      </c>
      <c r="B453">
        <v>61</v>
      </c>
      <c r="C453">
        <v>8</v>
      </c>
      <c r="D453" t="s">
        <v>12</v>
      </c>
      <c r="E453">
        <v>1.0718000000000001</v>
      </c>
      <c r="F453">
        <v>0.42499999999999999</v>
      </c>
      <c r="G453">
        <v>5.0143000000000004</v>
      </c>
      <c r="H453">
        <v>324</v>
      </c>
      <c r="I453">
        <v>476</v>
      </c>
      <c r="J453">
        <v>208.79</v>
      </c>
      <c r="K453">
        <v>1</v>
      </c>
    </row>
    <row r="454" spans="1:11" x14ac:dyDescent="0.25">
      <c r="A454" t="s">
        <v>14</v>
      </c>
      <c r="B454">
        <v>61</v>
      </c>
      <c r="C454">
        <v>9</v>
      </c>
      <c r="D454" t="s">
        <v>12</v>
      </c>
      <c r="E454">
        <v>0.91020000000000001</v>
      </c>
      <c r="F454">
        <v>0.2782</v>
      </c>
      <c r="G454">
        <v>5.0143000000000004</v>
      </c>
      <c r="H454">
        <v>324</v>
      </c>
      <c r="I454">
        <v>476</v>
      </c>
      <c r="J454">
        <v>208.79</v>
      </c>
      <c r="K454">
        <v>2</v>
      </c>
    </row>
    <row r="455" spans="1:11" x14ac:dyDescent="0.25">
      <c r="A455" t="s">
        <v>14</v>
      </c>
      <c r="B455">
        <v>61</v>
      </c>
      <c r="C455">
        <v>10</v>
      </c>
      <c r="D455" t="s">
        <v>12</v>
      </c>
      <c r="E455">
        <v>0.77669999999999995</v>
      </c>
      <c r="F455">
        <v>0.1542</v>
      </c>
      <c r="G455">
        <v>5.0143000000000004</v>
      </c>
      <c r="H455">
        <v>324</v>
      </c>
      <c r="I455">
        <v>476</v>
      </c>
      <c r="J455">
        <v>208.79</v>
      </c>
      <c r="K455">
        <v>2</v>
      </c>
    </row>
    <row r="456" spans="1:11" x14ac:dyDescent="0.25">
      <c r="A456" t="s">
        <v>14</v>
      </c>
      <c r="B456">
        <v>61</v>
      </c>
      <c r="C456">
        <v>11</v>
      </c>
      <c r="D456" t="s">
        <v>12</v>
      </c>
      <c r="E456">
        <v>0.30640000000000001</v>
      </c>
      <c r="F456">
        <v>0</v>
      </c>
      <c r="G456">
        <v>5.0143000000000004</v>
      </c>
      <c r="H456">
        <v>324</v>
      </c>
      <c r="I456">
        <v>476</v>
      </c>
      <c r="J456">
        <v>208.79</v>
      </c>
      <c r="K456">
        <v>2</v>
      </c>
    </row>
    <row r="457" spans="1:11" x14ac:dyDescent="0.25">
      <c r="A457" t="s">
        <v>14</v>
      </c>
      <c r="B457">
        <v>61</v>
      </c>
      <c r="C457">
        <v>12</v>
      </c>
      <c r="D457" t="s">
        <v>12</v>
      </c>
      <c r="E457">
        <v>0.27260000000000001</v>
      </c>
      <c r="F457">
        <v>0</v>
      </c>
      <c r="G457">
        <v>5.0143000000000004</v>
      </c>
      <c r="H457">
        <v>324</v>
      </c>
      <c r="I457">
        <v>476</v>
      </c>
      <c r="J457">
        <v>208.79</v>
      </c>
      <c r="K457">
        <v>2</v>
      </c>
    </row>
    <row r="458" spans="1:11" x14ac:dyDescent="0.25">
      <c r="A458" t="s">
        <v>14</v>
      </c>
      <c r="B458">
        <v>61</v>
      </c>
      <c r="C458">
        <v>13</v>
      </c>
      <c r="D458" t="s">
        <v>12</v>
      </c>
      <c r="E458">
        <v>0.29749999999999999</v>
      </c>
      <c r="F458">
        <v>0</v>
      </c>
      <c r="G458">
        <v>5.0143000000000004</v>
      </c>
      <c r="H458">
        <v>324</v>
      </c>
      <c r="I458">
        <v>476</v>
      </c>
      <c r="J458">
        <v>208.79</v>
      </c>
      <c r="K458">
        <v>2</v>
      </c>
    </row>
    <row r="459" spans="1:11" x14ac:dyDescent="0.25">
      <c r="A459" t="s">
        <v>14</v>
      </c>
      <c r="B459">
        <v>61</v>
      </c>
      <c r="C459">
        <v>14</v>
      </c>
      <c r="D459" t="s">
        <v>12</v>
      </c>
      <c r="E459">
        <v>0.88970000000000005</v>
      </c>
      <c r="F459">
        <v>0.3322</v>
      </c>
      <c r="G459">
        <v>5.0143000000000004</v>
      </c>
      <c r="H459">
        <v>324</v>
      </c>
      <c r="I459">
        <v>476</v>
      </c>
      <c r="J459">
        <v>208.79</v>
      </c>
      <c r="K459">
        <v>2</v>
      </c>
    </row>
    <row r="460" spans="1:11" x14ac:dyDescent="0.25">
      <c r="A460" t="s">
        <v>14</v>
      </c>
      <c r="B460">
        <v>61</v>
      </c>
      <c r="C460">
        <v>15</v>
      </c>
      <c r="D460" t="s">
        <v>12</v>
      </c>
      <c r="E460">
        <v>0.25359999999999999</v>
      </c>
      <c r="F460">
        <v>0</v>
      </c>
      <c r="G460">
        <v>5.0143000000000004</v>
      </c>
      <c r="H460">
        <v>324</v>
      </c>
      <c r="I460">
        <v>476</v>
      </c>
      <c r="J460">
        <v>208.79</v>
      </c>
      <c r="K460">
        <v>2</v>
      </c>
    </row>
    <row r="461" spans="1:11" x14ac:dyDescent="0.25">
      <c r="A461" t="s">
        <v>14</v>
      </c>
      <c r="B461">
        <v>61</v>
      </c>
      <c r="C461">
        <v>16</v>
      </c>
      <c r="D461" t="s">
        <v>12</v>
      </c>
      <c r="E461">
        <v>0.75580000000000003</v>
      </c>
      <c r="F461">
        <v>0.21229999999999999</v>
      </c>
      <c r="G461">
        <v>5.0143000000000004</v>
      </c>
      <c r="H461">
        <v>324</v>
      </c>
      <c r="I461">
        <v>476</v>
      </c>
      <c r="J461">
        <v>208.79</v>
      </c>
      <c r="K461">
        <v>2</v>
      </c>
    </row>
    <row r="462" spans="1:11" x14ac:dyDescent="0.25">
      <c r="A462" t="s">
        <v>14</v>
      </c>
      <c r="B462">
        <v>61</v>
      </c>
      <c r="C462">
        <v>17</v>
      </c>
      <c r="D462" t="s">
        <v>12</v>
      </c>
      <c r="E462">
        <v>0.224</v>
      </c>
      <c r="F462">
        <v>0</v>
      </c>
      <c r="G462">
        <v>5.0143000000000004</v>
      </c>
      <c r="H462">
        <v>324</v>
      </c>
      <c r="I462">
        <v>476</v>
      </c>
      <c r="J462">
        <v>208.79</v>
      </c>
      <c r="K462">
        <v>2</v>
      </c>
    </row>
    <row r="463" spans="1:11" x14ac:dyDescent="0.25">
      <c r="A463" t="s">
        <v>14</v>
      </c>
      <c r="B463">
        <v>73</v>
      </c>
      <c r="C463">
        <v>1</v>
      </c>
      <c r="D463" t="s">
        <v>12</v>
      </c>
      <c r="E463">
        <v>0.13239999999999999</v>
      </c>
      <c r="F463">
        <v>0</v>
      </c>
      <c r="G463">
        <v>4.8299000000000003</v>
      </c>
      <c r="H463">
        <v>340</v>
      </c>
      <c r="I463">
        <v>375</v>
      </c>
      <c r="J463">
        <v>123.52</v>
      </c>
      <c r="K463">
        <v>1</v>
      </c>
    </row>
    <row r="464" spans="1:11" x14ac:dyDescent="0.25">
      <c r="A464" t="s">
        <v>14</v>
      </c>
      <c r="B464">
        <v>73</v>
      </c>
      <c r="C464">
        <v>2</v>
      </c>
      <c r="D464" t="s">
        <v>12</v>
      </c>
      <c r="E464">
        <v>0.1406</v>
      </c>
      <c r="F464">
        <v>0</v>
      </c>
      <c r="G464">
        <v>4.8299000000000003</v>
      </c>
      <c r="H464">
        <v>340</v>
      </c>
      <c r="I464">
        <v>375</v>
      </c>
      <c r="J464">
        <v>123.52</v>
      </c>
      <c r="K464">
        <v>1</v>
      </c>
    </row>
    <row r="465" spans="1:12" x14ac:dyDescent="0.25">
      <c r="A465" t="s">
        <v>14</v>
      </c>
      <c r="B465">
        <v>73</v>
      </c>
      <c r="C465">
        <v>3</v>
      </c>
      <c r="D465" t="s">
        <v>12</v>
      </c>
      <c r="E465">
        <v>0.14879999999999999</v>
      </c>
      <c r="F465">
        <v>0</v>
      </c>
      <c r="G465">
        <v>4.8299000000000003</v>
      </c>
      <c r="H465">
        <v>340</v>
      </c>
      <c r="I465">
        <v>375</v>
      </c>
      <c r="J465">
        <v>123.52</v>
      </c>
      <c r="K465">
        <v>1</v>
      </c>
    </row>
    <row r="466" spans="1:12" x14ac:dyDescent="0.25">
      <c r="A466" t="s">
        <v>14</v>
      </c>
      <c r="B466">
        <v>73</v>
      </c>
      <c r="C466">
        <v>4</v>
      </c>
      <c r="D466" t="s">
        <v>12</v>
      </c>
      <c r="E466">
        <v>0.13009999999999999</v>
      </c>
      <c r="F466">
        <v>0</v>
      </c>
      <c r="G466">
        <v>4.8299000000000003</v>
      </c>
      <c r="H466">
        <v>340</v>
      </c>
      <c r="I466">
        <v>375</v>
      </c>
      <c r="J466">
        <v>123.52</v>
      </c>
      <c r="K466">
        <v>1</v>
      </c>
    </row>
    <row r="467" spans="1:12" x14ac:dyDescent="0.25">
      <c r="A467" t="s">
        <v>14</v>
      </c>
      <c r="B467">
        <v>73</v>
      </c>
      <c r="C467">
        <v>5</v>
      </c>
      <c r="D467" t="s">
        <v>12</v>
      </c>
      <c r="E467">
        <v>0.13109999999999999</v>
      </c>
      <c r="F467">
        <v>0</v>
      </c>
      <c r="G467">
        <v>4.8299000000000003</v>
      </c>
      <c r="H467">
        <v>340</v>
      </c>
      <c r="I467">
        <v>375</v>
      </c>
      <c r="J467">
        <v>123.52</v>
      </c>
      <c r="K467">
        <v>1</v>
      </c>
    </row>
    <row r="468" spans="1:12" x14ac:dyDescent="0.25">
      <c r="A468" t="s">
        <v>14</v>
      </c>
      <c r="B468">
        <v>73</v>
      </c>
      <c r="C468">
        <v>6</v>
      </c>
      <c r="D468" t="s">
        <v>12</v>
      </c>
      <c r="E468">
        <v>0.1479</v>
      </c>
      <c r="F468">
        <v>0</v>
      </c>
      <c r="G468">
        <v>4.8299000000000003</v>
      </c>
      <c r="H468">
        <v>340</v>
      </c>
      <c r="I468">
        <v>375</v>
      </c>
      <c r="J468">
        <v>123.52</v>
      </c>
      <c r="K468">
        <v>1</v>
      </c>
    </row>
    <row r="469" spans="1:12" x14ac:dyDescent="0.25">
      <c r="A469" t="s">
        <v>14</v>
      </c>
      <c r="B469">
        <v>73</v>
      </c>
      <c r="C469">
        <v>7</v>
      </c>
      <c r="D469" t="s">
        <v>12</v>
      </c>
      <c r="E469">
        <v>0.16950000000000001</v>
      </c>
      <c r="F469">
        <v>0</v>
      </c>
      <c r="G469">
        <v>4.8299000000000003</v>
      </c>
      <c r="H469">
        <v>340</v>
      </c>
      <c r="I469">
        <v>375</v>
      </c>
      <c r="J469">
        <v>123.52</v>
      </c>
      <c r="K469">
        <v>2</v>
      </c>
    </row>
    <row r="470" spans="1:12" x14ac:dyDescent="0.25">
      <c r="A470" t="s">
        <v>14</v>
      </c>
      <c r="B470">
        <v>73</v>
      </c>
      <c r="C470">
        <v>8</v>
      </c>
      <c r="D470" t="s">
        <v>12</v>
      </c>
      <c r="E470">
        <v>0.19009999999999999</v>
      </c>
      <c r="F470">
        <v>0</v>
      </c>
      <c r="G470">
        <v>4.8299000000000003</v>
      </c>
      <c r="H470">
        <v>340</v>
      </c>
      <c r="I470">
        <v>375</v>
      </c>
      <c r="J470">
        <v>123.52</v>
      </c>
      <c r="K470">
        <v>2</v>
      </c>
    </row>
    <row r="471" spans="1:12" x14ac:dyDescent="0.25">
      <c r="A471" t="s">
        <v>14</v>
      </c>
      <c r="B471">
        <v>73</v>
      </c>
      <c r="C471">
        <v>9</v>
      </c>
      <c r="D471" t="s">
        <v>12</v>
      </c>
      <c r="E471">
        <v>0.16850000000000001</v>
      </c>
      <c r="F471">
        <v>0</v>
      </c>
      <c r="G471">
        <v>4.8299000000000003</v>
      </c>
      <c r="H471">
        <v>340</v>
      </c>
      <c r="I471">
        <v>375</v>
      </c>
      <c r="J471">
        <v>123.52</v>
      </c>
      <c r="K471">
        <v>2</v>
      </c>
    </row>
    <row r="472" spans="1:12" x14ac:dyDescent="0.25">
      <c r="A472" t="s">
        <v>14</v>
      </c>
      <c r="B472">
        <v>73</v>
      </c>
      <c r="C472">
        <v>10</v>
      </c>
      <c r="D472" t="s">
        <v>12</v>
      </c>
      <c r="E472">
        <v>0.18859999999999999</v>
      </c>
      <c r="F472">
        <v>0</v>
      </c>
      <c r="G472">
        <v>4.8299000000000003</v>
      </c>
      <c r="H472">
        <v>340</v>
      </c>
      <c r="I472">
        <v>375</v>
      </c>
      <c r="J472">
        <v>123.52</v>
      </c>
      <c r="K472">
        <v>2</v>
      </c>
    </row>
    <row r="473" spans="1:12" x14ac:dyDescent="0.25">
      <c r="A473" t="s">
        <v>14</v>
      </c>
      <c r="B473">
        <v>73</v>
      </c>
      <c r="C473">
        <v>11</v>
      </c>
      <c r="D473" t="s">
        <v>12</v>
      </c>
      <c r="E473">
        <v>0.18079999999999999</v>
      </c>
      <c r="F473">
        <v>0</v>
      </c>
      <c r="G473">
        <v>4.8299000000000003</v>
      </c>
      <c r="H473">
        <v>340</v>
      </c>
      <c r="I473">
        <v>375</v>
      </c>
      <c r="J473">
        <v>123.52</v>
      </c>
      <c r="K473">
        <v>2</v>
      </c>
    </row>
    <row r="474" spans="1:12" x14ac:dyDescent="0.25">
      <c r="A474" t="s">
        <v>14</v>
      </c>
      <c r="B474">
        <v>73</v>
      </c>
      <c r="C474">
        <v>12</v>
      </c>
      <c r="D474" t="s">
        <v>12</v>
      </c>
      <c r="E474">
        <v>0.2243</v>
      </c>
      <c r="F474">
        <v>0</v>
      </c>
      <c r="G474">
        <v>4.8299000000000003</v>
      </c>
      <c r="H474">
        <v>340</v>
      </c>
      <c r="I474">
        <v>375</v>
      </c>
      <c r="J474">
        <v>123.52</v>
      </c>
      <c r="K474">
        <v>2</v>
      </c>
      <c r="L474">
        <v>16</v>
      </c>
    </row>
    <row r="475" spans="1:12" x14ac:dyDescent="0.25">
      <c r="A475" t="s">
        <v>14</v>
      </c>
      <c r="B475">
        <v>73</v>
      </c>
      <c r="C475">
        <v>13</v>
      </c>
      <c r="D475" t="s">
        <v>12</v>
      </c>
      <c r="E475">
        <v>0.21510000000000001</v>
      </c>
      <c r="F475">
        <v>0</v>
      </c>
      <c r="G475">
        <v>4.8299000000000003</v>
      </c>
      <c r="H475">
        <v>340</v>
      </c>
      <c r="I475">
        <v>375</v>
      </c>
      <c r="J475">
        <v>123.52</v>
      </c>
      <c r="K475">
        <v>2</v>
      </c>
      <c r="L475">
        <v>16.2</v>
      </c>
    </row>
    <row r="476" spans="1:12" x14ac:dyDescent="0.25">
      <c r="A476" t="s">
        <v>14</v>
      </c>
      <c r="B476">
        <v>73</v>
      </c>
      <c r="C476">
        <v>14</v>
      </c>
      <c r="D476" t="s">
        <v>11</v>
      </c>
      <c r="E476">
        <v>0.22309999999999999</v>
      </c>
      <c r="F476">
        <v>0</v>
      </c>
      <c r="G476">
        <v>4.8299000000000003</v>
      </c>
      <c r="H476">
        <v>340</v>
      </c>
      <c r="I476">
        <v>375</v>
      </c>
      <c r="J476">
        <v>123.52</v>
      </c>
      <c r="K476">
        <v>2</v>
      </c>
      <c r="L476">
        <v>15.6</v>
      </c>
    </row>
    <row r="477" spans="1:12" x14ac:dyDescent="0.25">
      <c r="A477" t="s">
        <v>14</v>
      </c>
      <c r="B477">
        <v>75</v>
      </c>
      <c r="C477">
        <v>1</v>
      </c>
      <c r="D477" t="s">
        <v>12</v>
      </c>
      <c r="E477">
        <v>0.31590000000000001</v>
      </c>
      <c r="F477">
        <v>0</v>
      </c>
      <c r="G477">
        <v>6.2850999999999999</v>
      </c>
      <c r="H477">
        <v>341</v>
      </c>
      <c r="I477">
        <v>510</v>
      </c>
      <c r="J477">
        <v>156.44</v>
      </c>
      <c r="K477">
        <v>1</v>
      </c>
      <c r="L477">
        <v>11.4</v>
      </c>
    </row>
    <row r="478" spans="1:12" x14ac:dyDescent="0.25">
      <c r="A478" t="s">
        <v>14</v>
      </c>
      <c r="B478">
        <v>75</v>
      </c>
      <c r="C478">
        <v>2</v>
      </c>
      <c r="D478" t="s">
        <v>12</v>
      </c>
      <c r="E478">
        <v>0.35570000000000002</v>
      </c>
      <c r="F478">
        <v>0</v>
      </c>
      <c r="G478">
        <v>6.2850999999999999</v>
      </c>
      <c r="H478">
        <v>341</v>
      </c>
      <c r="I478">
        <v>510</v>
      </c>
      <c r="J478">
        <v>156.44</v>
      </c>
      <c r="K478">
        <v>1</v>
      </c>
      <c r="L478">
        <v>11</v>
      </c>
    </row>
    <row r="479" spans="1:12" x14ac:dyDescent="0.25">
      <c r="A479" t="s">
        <v>14</v>
      </c>
      <c r="B479">
        <v>75</v>
      </c>
      <c r="C479">
        <v>3</v>
      </c>
      <c r="D479" t="s">
        <v>12</v>
      </c>
      <c r="E479">
        <v>9.8900000000000002E-2</v>
      </c>
      <c r="F479">
        <v>0</v>
      </c>
      <c r="G479">
        <v>6.2850999999999999</v>
      </c>
      <c r="H479">
        <v>341</v>
      </c>
      <c r="I479">
        <v>510</v>
      </c>
      <c r="J479">
        <v>156.44</v>
      </c>
      <c r="K479">
        <v>1</v>
      </c>
    </row>
    <row r="480" spans="1:12" x14ac:dyDescent="0.25">
      <c r="A480" t="s">
        <v>14</v>
      </c>
      <c r="B480">
        <v>75</v>
      </c>
      <c r="C480">
        <v>4</v>
      </c>
      <c r="D480" t="s">
        <v>12</v>
      </c>
      <c r="E480">
        <v>0.1172</v>
      </c>
      <c r="F480">
        <v>0</v>
      </c>
      <c r="G480">
        <v>6.2850999999999999</v>
      </c>
      <c r="H480">
        <v>341</v>
      </c>
      <c r="I480">
        <v>510</v>
      </c>
      <c r="J480">
        <v>156.44</v>
      </c>
      <c r="K480">
        <v>1</v>
      </c>
    </row>
    <row r="481" spans="1:12" x14ac:dyDescent="0.25">
      <c r="A481" t="s">
        <v>14</v>
      </c>
      <c r="B481">
        <v>75</v>
      </c>
      <c r="C481">
        <v>5</v>
      </c>
      <c r="D481" t="s">
        <v>12</v>
      </c>
      <c r="E481">
        <v>0.125</v>
      </c>
      <c r="F481">
        <v>0</v>
      </c>
      <c r="G481">
        <v>6.2850999999999999</v>
      </c>
      <c r="H481">
        <v>341</v>
      </c>
      <c r="I481">
        <v>510</v>
      </c>
      <c r="J481">
        <v>156.44</v>
      </c>
      <c r="K481">
        <v>1</v>
      </c>
    </row>
    <row r="482" spans="1:12" x14ac:dyDescent="0.25">
      <c r="A482" t="s">
        <v>14</v>
      </c>
      <c r="B482">
        <v>75</v>
      </c>
      <c r="C482">
        <v>6</v>
      </c>
      <c r="D482" t="s">
        <v>12</v>
      </c>
      <c r="E482">
        <v>0.1338</v>
      </c>
      <c r="F482">
        <v>0</v>
      </c>
      <c r="G482">
        <v>6.2850999999999999</v>
      </c>
      <c r="H482">
        <v>341</v>
      </c>
      <c r="I482">
        <v>510</v>
      </c>
      <c r="J482">
        <v>156.44</v>
      </c>
      <c r="K482">
        <v>1</v>
      </c>
    </row>
    <row r="483" spans="1:12" x14ac:dyDescent="0.25">
      <c r="A483" t="s">
        <v>14</v>
      </c>
      <c r="B483">
        <v>75</v>
      </c>
      <c r="C483">
        <v>7</v>
      </c>
      <c r="D483" t="s">
        <v>12</v>
      </c>
      <c r="E483">
        <v>0.1288</v>
      </c>
      <c r="F483">
        <v>0</v>
      </c>
      <c r="G483">
        <v>6.2850999999999999</v>
      </c>
      <c r="H483">
        <v>341</v>
      </c>
      <c r="I483">
        <v>510</v>
      </c>
      <c r="J483">
        <v>156.44</v>
      </c>
      <c r="K483">
        <v>1</v>
      </c>
    </row>
    <row r="484" spans="1:12" x14ac:dyDescent="0.25">
      <c r="A484" t="s">
        <v>14</v>
      </c>
      <c r="B484">
        <v>75</v>
      </c>
      <c r="C484">
        <v>8</v>
      </c>
      <c r="D484" t="s">
        <v>12</v>
      </c>
      <c r="E484">
        <v>0.12509999999999999</v>
      </c>
      <c r="F484">
        <v>0</v>
      </c>
      <c r="G484">
        <v>6.2850999999999999</v>
      </c>
      <c r="H484">
        <v>341</v>
      </c>
      <c r="I484">
        <v>510</v>
      </c>
      <c r="J484">
        <v>156.44</v>
      </c>
      <c r="K484">
        <v>1</v>
      </c>
    </row>
    <row r="485" spans="1:12" x14ac:dyDescent="0.25">
      <c r="A485" t="s">
        <v>14</v>
      </c>
      <c r="B485">
        <v>75</v>
      </c>
      <c r="C485">
        <v>9</v>
      </c>
      <c r="D485" t="s">
        <v>12</v>
      </c>
      <c r="E485">
        <v>0.1593</v>
      </c>
      <c r="F485">
        <v>0</v>
      </c>
      <c r="G485">
        <v>6.2850999999999999</v>
      </c>
      <c r="H485">
        <v>341</v>
      </c>
      <c r="I485">
        <v>510</v>
      </c>
      <c r="J485">
        <v>156.44</v>
      </c>
      <c r="K485">
        <v>1</v>
      </c>
    </row>
    <row r="486" spans="1:12" x14ac:dyDescent="0.25">
      <c r="A486" t="s">
        <v>14</v>
      </c>
      <c r="B486">
        <v>75</v>
      </c>
      <c r="C486">
        <v>10</v>
      </c>
      <c r="D486" t="s">
        <v>12</v>
      </c>
      <c r="E486">
        <v>0.33960000000000001</v>
      </c>
      <c r="F486">
        <v>0</v>
      </c>
      <c r="G486">
        <v>6.2850999999999999</v>
      </c>
      <c r="H486">
        <v>341</v>
      </c>
      <c r="I486">
        <v>510</v>
      </c>
      <c r="J486">
        <v>156.44</v>
      </c>
      <c r="K486">
        <v>2</v>
      </c>
      <c r="L486">
        <v>12.6</v>
      </c>
    </row>
    <row r="487" spans="1:12" x14ac:dyDescent="0.25">
      <c r="A487" t="s">
        <v>14</v>
      </c>
      <c r="B487">
        <v>75</v>
      </c>
      <c r="C487">
        <v>11</v>
      </c>
      <c r="D487" t="s">
        <v>11</v>
      </c>
      <c r="E487">
        <v>0.59809999999999997</v>
      </c>
      <c r="F487">
        <v>4.1599999999999998E-2</v>
      </c>
      <c r="G487">
        <v>6.2850999999999999</v>
      </c>
      <c r="H487">
        <v>341</v>
      </c>
      <c r="I487">
        <v>510</v>
      </c>
      <c r="J487">
        <v>156.44</v>
      </c>
      <c r="K487">
        <v>2</v>
      </c>
      <c r="L487">
        <v>18</v>
      </c>
    </row>
    <row r="488" spans="1:12" x14ac:dyDescent="0.25">
      <c r="A488" t="s">
        <v>14</v>
      </c>
      <c r="B488">
        <v>75</v>
      </c>
      <c r="C488">
        <v>12</v>
      </c>
      <c r="D488" t="s">
        <v>12</v>
      </c>
      <c r="E488">
        <v>0.73709999999999998</v>
      </c>
      <c r="F488">
        <v>8.0600000000000005E-2</v>
      </c>
      <c r="G488">
        <v>6.2850999999999999</v>
      </c>
      <c r="H488">
        <v>341</v>
      </c>
      <c r="I488">
        <v>510</v>
      </c>
      <c r="J488">
        <v>156.44</v>
      </c>
      <c r="K488">
        <v>2</v>
      </c>
    </row>
    <row r="489" spans="1:12" x14ac:dyDescent="0.25">
      <c r="A489" t="s">
        <v>14</v>
      </c>
      <c r="B489">
        <v>75</v>
      </c>
      <c r="C489">
        <v>13</v>
      </c>
      <c r="D489" t="s">
        <v>11</v>
      </c>
      <c r="E489">
        <v>0.58620000000000005</v>
      </c>
      <c r="F489">
        <v>0.17680000000000001</v>
      </c>
      <c r="G489">
        <v>6.2850999999999999</v>
      </c>
      <c r="H489">
        <v>341</v>
      </c>
      <c r="I489">
        <v>510</v>
      </c>
      <c r="J489">
        <v>156.44</v>
      </c>
      <c r="K489">
        <v>2</v>
      </c>
      <c r="L489">
        <v>6</v>
      </c>
    </row>
    <row r="490" spans="1:12" x14ac:dyDescent="0.25">
      <c r="A490" t="s">
        <v>14</v>
      </c>
      <c r="B490">
        <v>75</v>
      </c>
      <c r="C490">
        <v>14</v>
      </c>
      <c r="D490" t="s">
        <v>11</v>
      </c>
      <c r="E490">
        <v>0.8155</v>
      </c>
      <c r="F490">
        <v>0.2203</v>
      </c>
      <c r="G490">
        <v>6.2850999999999999</v>
      </c>
      <c r="H490">
        <v>341</v>
      </c>
      <c r="I490">
        <v>510</v>
      </c>
      <c r="J490">
        <v>156.44</v>
      </c>
      <c r="K490">
        <v>2</v>
      </c>
      <c r="L490">
        <v>19.2</v>
      </c>
    </row>
    <row r="491" spans="1:12" x14ac:dyDescent="0.25">
      <c r="A491" t="s">
        <v>14</v>
      </c>
      <c r="B491">
        <v>75</v>
      </c>
      <c r="C491">
        <v>15</v>
      </c>
      <c r="D491" t="s">
        <v>12</v>
      </c>
      <c r="E491">
        <v>0.16669999999999999</v>
      </c>
      <c r="F491">
        <v>0</v>
      </c>
      <c r="G491">
        <v>6.2850999999999999</v>
      </c>
      <c r="H491">
        <v>341</v>
      </c>
      <c r="I491">
        <v>510</v>
      </c>
      <c r="J491">
        <v>156.44</v>
      </c>
      <c r="K491">
        <v>2</v>
      </c>
    </row>
    <row r="492" spans="1:12" x14ac:dyDescent="0.25">
      <c r="A492" t="s">
        <v>14</v>
      </c>
      <c r="B492">
        <v>75</v>
      </c>
      <c r="C492">
        <v>16</v>
      </c>
      <c r="D492" t="s">
        <v>12</v>
      </c>
      <c r="E492">
        <v>0.14219999999999999</v>
      </c>
      <c r="F492">
        <v>0</v>
      </c>
      <c r="G492">
        <v>6.2850999999999999</v>
      </c>
      <c r="H492">
        <v>341</v>
      </c>
      <c r="I492">
        <v>510</v>
      </c>
      <c r="J492">
        <v>156.44</v>
      </c>
      <c r="K492">
        <v>2</v>
      </c>
    </row>
    <row r="493" spans="1:12" x14ac:dyDescent="0.25">
      <c r="A493" t="s">
        <v>14</v>
      </c>
      <c r="B493">
        <v>75</v>
      </c>
      <c r="C493">
        <v>17</v>
      </c>
      <c r="D493" t="s">
        <v>12</v>
      </c>
      <c r="E493">
        <v>0.1197</v>
      </c>
      <c r="F493">
        <v>0</v>
      </c>
      <c r="G493">
        <v>6.2850999999999999</v>
      </c>
      <c r="H493">
        <v>341</v>
      </c>
      <c r="I493">
        <v>510</v>
      </c>
      <c r="J493">
        <v>156.44</v>
      </c>
      <c r="K493">
        <v>2</v>
      </c>
    </row>
    <row r="494" spans="1:12" x14ac:dyDescent="0.25">
      <c r="A494" t="s">
        <v>14</v>
      </c>
      <c r="B494">
        <v>75</v>
      </c>
      <c r="C494">
        <v>18</v>
      </c>
      <c r="D494" t="s">
        <v>12</v>
      </c>
      <c r="E494">
        <v>0.1734</v>
      </c>
      <c r="F494">
        <v>0</v>
      </c>
      <c r="G494">
        <v>6.2850999999999999</v>
      </c>
      <c r="H494">
        <v>341</v>
      </c>
      <c r="I494">
        <v>510</v>
      </c>
      <c r="J494">
        <v>156.44</v>
      </c>
      <c r="K494">
        <v>2</v>
      </c>
    </row>
    <row r="495" spans="1:12" x14ac:dyDescent="0.25">
      <c r="A495" t="s">
        <v>14</v>
      </c>
      <c r="B495">
        <v>75</v>
      </c>
      <c r="C495">
        <v>19</v>
      </c>
      <c r="D495" t="s">
        <v>12</v>
      </c>
      <c r="E495">
        <v>0.21129999999999999</v>
      </c>
      <c r="F495">
        <v>0</v>
      </c>
      <c r="G495">
        <v>6.2850999999999999</v>
      </c>
      <c r="H495">
        <v>341</v>
      </c>
      <c r="I495">
        <v>510</v>
      </c>
      <c r="J495">
        <v>156.44</v>
      </c>
      <c r="K495">
        <v>2</v>
      </c>
      <c r="L495">
        <v>19</v>
      </c>
    </row>
    <row r="496" spans="1:12" x14ac:dyDescent="0.25">
      <c r="A496" t="s">
        <v>14</v>
      </c>
      <c r="B496">
        <v>75</v>
      </c>
      <c r="C496">
        <v>20</v>
      </c>
      <c r="D496" t="s">
        <v>11</v>
      </c>
      <c r="E496">
        <v>0.2074</v>
      </c>
      <c r="F496">
        <v>0</v>
      </c>
      <c r="G496">
        <v>6.2850999999999999</v>
      </c>
      <c r="H496">
        <v>341</v>
      </c>
      <c r="I496">
        <v>510</v>
      </c>
      <c r="J496">
        <v>156.44</v>
      </c>
      <c r="K496">
        <v>2</v>
      </c>
      <c r="L496">
        <v>16.600000000000001</v>
      </c>
    </row>
    <row r="497" spans="1:11" x14ac:dyDescent="0.25">
      <c r="A497" t="s">
        <v>14</v>
      </c>
      <c r="B497">
        <v>81</v>
      </c>
      <c r="C497">
        <v>1</v>
      </c>
      <c r="D497" t="s">
        <v>12</v>
      </c>
      <c r="E497">
        <v>0.87250000000000005</v>
      </c>
      <c r="F497">
        <v>0.18709999999999999</v>
      </c>
      <c r="G497">
        <v>5.1443000000000003</v>
      </c>
      <c r="H497">
        <v>312</v>
      </c>
      <c r="I497">
        <f t="shared" ref="I497:I515" si="2">345+41</f>
        <v>386</v>
      </c>
      <c r="J497">
        <v>75.86</v>
      </c>
      <c r="K497">
        <v>1</v>
      </c>
    </row>
    <row r="498" spans="1:11" x14ac:dyDescent="0.25">
      <c r="A498" t="s">
        <v>14</v>
      </c>
      <c r="B498">
        <v>81</v>
      </c>
      <c r="C498">
        <v>2</v>
      </c>
      <c r="D498" t="s">
        <v>12</v>
      </c>
      <c r="E498">
        <v>0.64939999999999998</v>
      </c>
      <c r="F498">
        <v>3.6900000000000002E-2</v>
      </c>
      <c r="G498">
        <v>5.1443000000000003</v>
      </c>
      <c r="H498">
        <v>312</v>
      </c>
      <c r="I498">
        <f t="shared" si="2"/>
        <v>386</v>
      </c>
      <c r="J498">
        <v>75.86</v>
      </c>
      <c r="K498">
        <v>1</v>
      </c>
    </row>
    <row r="499" spans="1:11" x14ac:dyDescent="0.25">
      <c r="A499" t="s">
        <v>14</v>
      </c>
      <c r="B499">
        <v>81</v>
      </c>
      <c r="C499">
        <v>3</v>
      </c>
      <c r="D499" t="s">
        <v>12</v>
      </c>
      <c r="E499">
        <v>0.88770000000000004</v>
      </c>
      <c r="F499">
        <v>0.21310000000000001</v>
      </c>
      <c r="G499">
        <v>5.1443000000000003</v>
      </c>
      <c r="H499">
        <v>312</v>
      </c>
      <c r="I499">
        <f t="shared" si="2"/>
        <v>386</v>
      </c>
      <c r="J499">
        <v>75.86</v>
      </c>
      <c r="K499">
        <v>1</v>
      </c>
    </row>
    <row r="500" spans="1:11" x14ac:dyDescent="0.25">
      <c r="A500" t="s">
        <v>14</v>
      </c>
      <c r="B500">
        <v>81</v>
      </c>
      <c r="C500">
        <v>4</v>
      </c>
      <c r="D500" t="s">
        <v>12</v>
      </c>
      <c r="E500">
        <v>0.33539999999999998</v>
      </c>
      <c r="F500">
        <v>0</v>
      </c>
      <c r="G500">
        <v>5.1443000000000003</v>
      </c>
      <c r="H500">
        <v>312</v>
      </c>
      <c r="I500">
        <f t="shared" si="2"/>
        <v>386</v>
      </c>
      <c r="J500">
        <v>75.86</v>
      </c>
      <c r="K500">
        <v>1</v>
      </c>
    </row>
    <row r="501" spans="1:11" x14ac:dyDescent="0.25">
      <c r="A501" t="s">
        <v>14</v>
      </c>
      <c r="B501">
        <v>81</v>
      </c>
      <c r="C501">
        <v>5</v>
      </c>
      <c r="D501" t="s">
        <v>12</v>
      </c>
      <c r="E501">
        <v>0.9889</v>
      </c>
      <c r="F501">
        <v>0.30969999999999998</v>
      </c>
      <c r="G501">
        <v>5.1443000000000003</v>
      </c>
      <c r="H501">
        <v>312</v>
      </c>
      <c r="I501">
        <f t="shared" si="2"/>
        <v>386</v>
      </c>
      <c r="J501">
        <v>75.86</v>
      </c>
      <c r="K501">
        <v>1</v>
      </c>
    </row>
    <row r="502" spans="1:11" x14ac:dyDescent="0.25">
      <c r="A502" t="s">
        <v>14</v>
      </c>
      <c r="B502">
        <v>81</v>
      </c>
      <c r="C502">
        <v>6</v>
      </c>
      <c r="D502" t="s">
        <v>12</v>
      </c>
      <c r="E502">
        <v>0.37019999999999997</v>
      </c>
      <c r="F502">
        <v>0</v>
      </c>
      <c r="G502">
        <v>5.1443000000000003</v>
      </c>
      <c r="H502">
        <v>312</v>
      </c>
      <c r="I502">
        <f t="shared" si="2"/>
        <v>386</v>
      </c>
      <c r="J502">
        <v>75.86</v>
      </c>
      <c r="K502">
        <v>1</v>
      </c>
    </row>
    <row r="503" spans="1:11" x14ac:dyDescent="0.25">
      <c r="A503" t="s">
        <v>14</v>
      </c>
      <c r="B503">
        <v>81</v>
      </c>
      <c r="C503">
        <v>7</v>
      </c>
      <c r="D503" t="s">
        <v>12</v>
      </c>
      <c r="E503">
        <v>0.99619999999999997</v>
      </c>
      <c r="F503">
        <v>0.38629999999999998</v>
      </c>
      <c r="G503">
        <v>5.1443000000000003</v>
      </c>
      <c r="H503">
        <v>312</v>
      </c>
      <c r="I503">
        <f t="shared" si="2"/>
        <v>386</v>
      </c>
      <c r="J503">
        <v>75.86</v>
      </c>
      <c r="K503">
        <v>1</v>
      </c>
    </row>
    <row r="504" spans="1:11" x14ac:dyDescent="0.25">
      <c r="A504" t="s">
        <v>14</v>
      </c>
      <c r="B504">
        <v>81</v>
      </c>
      <c r="C504">
        <v>8</v>
      </c>
      <c r="D504" t="s">
        <v>12</v>
      </c>
      <c r="E504">
        <v>0.35149999999999998</v>
      </c>
      <c r="F504">
        <v>0</v>
      </c>
      <c r="G504">
        <v>5.1443000000000003</v>
      </c>
      <c r="H504">
        <v>312</v>
      </c>
      <c r="I504">
        <f t="shared" si="2"/>
        <v>386</v>
      </c>
      <c r="J504">
        <v>75.86</v>
      </c>
      <c r="K504">
        <v>1</v>
      </c>
    </row>
    <row r="505" spans="1:11" x14ac:dyDescent="0.25">
      <c r="A505" t="s">
        <v>14</v>
      </c>
      <c r="B505">
        <v>81</v>
      </c>
      <c r="C505">
        <v>9</v>
      </c>
      <c r="D505" t="s">
        <v>12</v>
      </c>
      <c r="E505">
        <v>1.0444</v>
      </c>
      <c r="F505">
        <v>0.51829999999999998</v>
      </c>
      <c r="G505">
        <v>5.1443000000000003</v>
      </c>
      <c r="H505">
        <v>312</v>
      </c>
      <c r="I505">
        <f t="shared" si="2"/>
        <v>386</v>
      </c>
      <c r="J505">
        <v>75.86</v>
      </c>
      <c r="K505">
        <v>1</v>
      </c>
    </row>
    <row r="506" spans="1:11" x14ac:dyDescent="0.25">
      <c r="A506" t="s">
        <v>14</v>
      </c>
      <c r="B506">
        <v>81</v>
      </c>
      <c r="C506">
        <v>10</v>
      </c>
      <c r="D506" t="s">
        <v>12</v>
      </c>
      <c r="E506">
        <v>0.30930000000000002</v>
      </c>
      <c r="F506">
        <v>0</v>
      </c>
      <c r="G506">
        <v>5.1443000000000003</v>
      </c>
      <c r="H506">
        <v>312</v>
      </c>
      <c r="I506">
        <f t="shared" si="2"/>
        <v>386</v>
      </c>
      <c r="J506">
        <v>75.86</v>
      </c>
      <c r="K506">
        <v>2</v>
      </c>
    </row>
    <row r="507" spans="1:11" x14ac:dyDescent="0.25">
      <c r="A507" t="s">
        <v>14</v>
      </c>
      <c r="B507">
        <v>81</v>
      </c>
      <c r="C507">
        <v>11</v>
      </c>
      <c r="D507" t="s">
        <v>12</v>
      </c>
      <c r="E507">
        <v>0.86509999999999998</v>
      </c>
      <c r="F507">
        <v>0.38819999999999999</v>
      </c>
      <c r="G507">
        <v>5.1443000000000003</v>
      </c>
      <c r="H507">
        <v>312</v>
      </c>
      <c r="I507">
        <f t="shared" si="2"/>
        <v>386</v>
      </c>
      <c r="J507">
        <v>75.86</v>
      </c>
      <c r="K507">
        <v>2</v>
      </c>
    </row>
    <row r="508" spans="1:11" x14ac:dyDescent="0.25">
      <c r="A508" t="s">
        <v>14</v>
      </c>
      <c r="B508">
        <v>81</v>
      </c>
      <c r="C508">
        <v>12</v>
      </c>
      <c r="D508" t="s">
        <v>12</v>
      </c>
      <c r="E508">
        <v>0.21740000000000001</v>
      </c>
      <c r="F508">
        <v>0</v>
      </c>
      <c r="G508">
        <v>5.1443000000000003</v>
      </c>
      <c r="H508">
        <v>312</v>
      </c>
      <c r="I508">
        <f t="shared" si="2"/>
        <v>386</v>
      </c>
      <c r="J508">
        <v>75.86</v>
      </c>
      <c r="K508">
        <v>2</v>
      </c>
    </row>
    <row r="509" spans="1:11" x14ac:dyDescent="0.25">
      <c r="A509" t="s">
        <v>14</v>
      </c>
      <c r="B509">
        <v>81</v>
      </c>
      <c r="C509">
        <v>13</v>
      </c>
      <c r="D509" t="s">
        <v>12</v>
      </c>
      <c r="E509">
        <v>0.27310000000000001</v>
      </c>
      <c r="F509">
        <v>0</v>
      </c>
      <c r="G509">
        <v>5.1443000000000003</v>
      </c>
      <c r="H509">
        <v>312</v>
      </c>
      <c r="I509">
        <f t="shared" si="2"/>
        <v>386</v>
      </c>
      <c r="J509">
        <v>75.86</v>
      </c>
      <c r="K509">
        <v>2</v>
      </c>
    </row>
    <row r="510" spans="1:11" x14ac:dyDescent="0.25">
      <c r="A510" t="s">
        <v>14</v>
      </c>
      <c r="B510">
        <v>81</v>
      </c>
      <c r="C510">
        <v>14</v>
      </c>
      <c r="D510" t="s">
        <v>12</v>
      </c>
      <c r="E510">
        <v>0.25490000000000002</v>
      </c>
      <c r="F510">
        <v>0</v>
      </c>
      <c r="G510">
        <v>5.1443000000000003</v>
      </c>
      <c r="H510">
        <v>312</v>
      </c>
      <c r="I510">
        <f t="shared" si="2"/>
        <v>386</v>
      </c>
      <c r="J510">
        <v>75.86</v>
      </c>
      <c r="K510">
        <v>2</v>
      </c>
    </row>
    <row r="511" spans="1:11" x14ac:dyDescent="0.25">
      <c r="A511" t="s">
        <v>14</v>
      </c>
      <c r="B511">
        <v>81</v>
      </c>
      <c r="C511">
        <v>15</v>
      </c>
      <c r="D511" t="s">
        <v>12</v>
      </c>
      <c r="E511">
        <v>0.2747</v>
      </c>
      <c r="F511">
        <v>0</v>
      </c>
      <c r="G511">
        <v>5.1443000000000003</v>
      </c>
      <c r="H511">
        <v>312</v>
      </c>
      <c r="I511">
        <f t="shared" si="2"/>
        <v>386</v>
      </c>
      <c r="J511">
        <v>75.86</v>
      </c>
      <c r="K511">
        <v>2</v>
      </c>
    </row>
    <row r="512" spans="1:11" x14ac:dyDescent="0.25">
      <c r="A512" t="s">
        <v>14</v>
      </c>
      <c r="B512">
        <v>81</v>
      </c>
      <c r="C512">
        <v>16</v>
      </c>
      <c r="D512" t="s">
        <v>12</v>
      </c>
      <c r="E512">
        <v>0.24909999999999999</v>
      </c>
      <c r="F512">
        <v>0</v>
      </c>
      <c r="G512">
        <v>5.1443000000000003</v>
      </c>
      <c r="H512">
        <v>312</v>
      </c>
      <c r="I512">
        <f t="shared" si="2"/>
        <v>386</v>
      </c>
      <c r="J512">
        <v>75.86</v>
      </c>
      <c r="K512">
        <v>2</v>
      </c>
    </row>
    <row r="513" spans="1:11" x14ac:dyDescent="0.25">
      <c r="A513" t="s">
        <v>14</v>
      </c>
      <c r="B513">
        <v>81</v>
      </c>
      <c r="C513">
        <v>17</v>
      </c>
      <c r="D513" t="s">
        <v>12</v>
      </c>
      <c r="E513">
        <v>0.24299999999999999</v>
      </c>
      <c r="F513">
        <v>0</v>
      </c>
      <c r="G513">
        <v>5.1443000000000003</v>
      </c>
      <c r="H513">
        <v>312</v>
      </c>
      <c r="I513">
        <f t="shared" si="2"/>
        <v>386</v>
      </c>
      <c r="J513">
        <v>75.86</v>
      </c>
      <c r="K513">
        <v>2</v>
      </c>
    </row>
    <row r="514" spans="1:11" x14ac:dyDescent="0.25">
      <c r="A514" t="s">
        <v>14</v>
      </c>
      <c r="B514">
        <v>81</v>
      </c>
      <c r="C514">
        <v>18</v>
      </c>
      <c r="D514" t="s">
        <v>12</v>
      </c>
      <c r="E514">
        <v>0.2021</v>
      </c>
      <c r="F514">
        <v>0</v>
      </c>
      <c r="G514">
        <v>5.1443000000000003</v>
      </c>
      <c r="H514">
        <v>312</v>
      </c>
      <c r="I514">
        <f t="shared" si="2"/>
        <v>386</v>
      </c>
      <c r="J514">
        <v>75.86</v>
      </c>
      <c r="K514">
        <v>2</v>
      </c>
    </row>
    <row r="515" spans="1:11" x14ac:dyDescent="0.25">
      <c r="A515" t="s">
        <v>14</v>
      </c>
      <c r="B515">
        <v>81</v>
      </c>
      <c r="C515">
        <v>19</v>
      </c>
      <c r="D515" t="s">
        <v>12</v>
      </c>
      <c r="E515">
        <v>0.18809999999999999</v>
      </c>
      <c r="F515">
        <v>0</v>
      </c>
      <c r="G515">
        <v>5.1443000000000003</v>
      </c>
      <c r="H515">
        <v>312</v>
      </c>
      <c r="I515">
        <f t="shared" si="2"/>
        <v>386</v>
      </c>
      <c r="J515">
        <v>75.86</v>
      </c>
      <c r="K515">
        <v>2</v>
      </c>
    </row>
    <row r="516" spans="1:11" x14ac:dyDescent="0.25">
      <c r="A516" t="s">
        <v>14</v>
      </c>
      <c r="B516">
        <v>94</v>
      </c>
      <c r="C516">
        <v>1</v>
      </c>
      <c r="D516" t="s">
        <v>12</v>
      </c>
      <c r="E516">
        <v>0.115</v>
      </c>
      <c r="F516">
        <v>0</v>
      </c>
      <c r="G516">
        <v>4.9705000000000004</v>
      </c>
      <c r="H516">
        <v>313</v>
      </c>
      <c r="I516">
        <v>416</v>
      </c>
      <c r="J516">
        <v>150.27000000000001</v>
      </c>
      <c r="K516">
        <v>1</v>
      </c>
    </row>
    <row r="517" spans="1:11" x14ac:dyDescent="0.25">
      <c r="A517" t="s">
        <v>14</v>
      </c>
      <c r="B517">
        <v>94</v>
      </c>
      <c r="C517">
        <v>2</v>
      </c>
      <c r="D517" t="s">
        <v>12</v>
      </c>
      <c r="E517">
        <v>0.13150000000000001</v>
      </c>
      <c r="F517">
        <v>0</v>
      </c>
      <c r="G517">
        <v>4.9705000000000004</v>
      </c>
      <c r="H517">
        <v>313</v>
      </c>
      <c r="I517">
        <v>416</v>
      </c>
      <c r="J517">
        <v>150.27000000000001</v>
      </c>
      <c r="K517">
        <v>1</v>
      </c>
    </row>
    <row r="518" spans="1:11" x14ac:dyDescent="0.25">
      <c r="A518" t="s">
        <v>14</v>
      </c>
      <c r="B518">
        <v>94</v>
      </c>
      <c r="C518">
        <v>3</v>
      </c>
      <c r="D518" t="s">
        <v>12</v>
      </c>
      <c r="E518">
        <v>0.1255</v>
      </c>
      <c r="F518">
        <v>0</v>
      </c>
      <c r="G518">
        <v>4.9705000000000004</v>
      </c>
      <c r="H518">
        <v>313</v>
      </c>
      <c r="I518">
        <v>416</v>
      </c>
      <c r="J518">
        <v>150.27000000000001</v>
      </c>
      <c r="K518">
        <v>1</v>
      </c>
    </row>
    <row r="519" spans="1:11" x14ac:dyDescent="0.25">
      <c r="A519" t="s">
        <v>14</v>
      </c>
      <c r="B519">
        <v>94</v>
      </c>
      <c r="C519">
        <v>4</v>
      </c>
      <c r="D519" t="s">
        <v>12</v>
      </c>
      <c r="E519">
        <v>0.13450000000000001</v>
      </c>
      <c r="F519">
        <v>0</v>
      </c>
      <c r="G519">
        <v>4.9705000000000004</v>
      </c>
      <c r="H519">
        <v>313</v>
      </c>
      <c r="I519">
        <v>416</v>
      </c>
      <c r="J519">
        <v>150.27000000000001</v>
      </c>
      <c r="K519">
        <v>1</v>
      </c>
    </row>
    <row r="520" spans="1:11" x14ac:dyDescent="0.25">
      <c r="A520" t="s">
        <v>14</v>
      </c>
      <c r="B520">
        <v>94</v>
      </c>
      <c r="C520">
        <v>5</v>
      </c>
      <c r="D520" t="s">
        <v>12</v>
      </c>
      <c r="E520">
        <v>0.1242</v>
      </c>
      <c r="F520">
        <v>0</v>
      </c>
      <c r="G520">
        <v>4.9705000000000004</v>
      </c>
      <c r="H520">
        <v>313</v>
      </c>
      <c r="I520">
        <v>416</v>
      </c>
      <c r="J520">
        <v>150.27000000000001</v>
      </c>
      <c r="K520">
        <v>1</v>
      </c>
    </row>
    <row r="521" spans="1:11" x14ac:dyDescent="0.25">
      <c r="A521" t="s">
        <v>14</v>
      </c>
      <c r="B521">
        <v>94</v>
      </c>
      <c r="C521">
        <v>6</v>
      </c>
      <c r="D521" t="s">
        <v>12</v>
      </c>
      <c r="E521">
        <v>0.13350000000000001</v>
      </c>
      <c r="F521">
        <v>0</v>
      </c>
      <c r="G521">
        <v>4.9705000000000004</v>
      </c>
      <c r="H521">
        <v>313</v>
      </c>
      <c r="I521">
        <v>416</v>
      </c>
      <c r="J521">
        <v>150.27000000000001</v>
      </c>
      <c r="K521">
        <v>1</v>
      </c>
    </row>
    <row r="522" spans="1:11" x14ac:dyDescent="0.25">
      <c r="A522" t="s">
        <v>14</v>
      </c>
      <c r="B522">
        <v>94</v>
      </c>
      <c r="C522">
        <v>7</v>
      </c>
      <c r="D522" t="s">
        <v>12</v>
      </c>
      <c r="E522">
        <v>0.11899999999999999</v>
      </c>
      <c r="F522">
        <v>0</v>
      </c>
      <c r="G522">
        <v>4.9705000000000004</v>
      </c>
      <c r="H522">
        <v>313</v>
      </c>
      <c r="I522">
        <v>416</v>
      </c>
      <c r="J522">
        <v>150.27000000000001</v>
      </c>
      <c r="K522">
        <v>1</v>
      </c>
    </row>
    <row r="523" spans="1:11" x14ac:dyDescent="0.25">
      <c r="A523" t="s">
        <v>14</v>
      </c>
      <c r="B523">
        <v>94</v>
      </c>
      <c r="C523">
        <v>8</v>
      </c>
      <c r="D523" t="s">
        <v>12</v>
      </c>
      <c r="E523">
        <v>0.14019999999999999</v>
      </c>
      <c r="F523">
        <v>0</v>
      </c>
      <c r="G523">
        <v>4.9705000000000004</v>
      </c>
      <c r="H523">
        <v>313</v>
      </c>
      <c r="I523">
        <v>416</v>
      </c>
      <c r="J523">
        <v>150.27000000000001</v>
      </c>
      <c r="K523">
        <v>2</v>
      </c>
    </row>
    <row r="524" spans="1:11" x14ac:dyDescent="0.25">
      <c r="A524" t="s">
        <v>14</v>
      </c>
      <c r="B524">
        <v>94</v>
      </c>
      <c r="C524">
        <v>9</v>
      </c>
      <c r="D524" t="s">
        <v>12</v>
      </c>
      <c r="E524">
        <v>0.1169</v>
      </c>
      <c r="F524">
        <v>0</v>
      </c>
      <c r="G524">
        <v>4.9705000000000004</v>
      </c>
      <c r="H524">
        <v>313</v>
      </c>
      <c r="I524">
        <v>416</v>
      </c>
      <c r="J524">
        <v>150.27000000000001</v>
      </c>
      <c r="K524">
        <v>2</v>
      </c>
    </row>
    <row r="525" spans="1:11" x14ac:dyDescent="0.25">
      <c r="A525" t="s">
        <v>14</v>
      </c>
      <c r="B525">
        <v>94</v>
      </c>
      <c r="C525">
        <v>10</v>
      </c>
      <c r="D525" t="s">
        <v>12</v>
      </c>
      <c r="E525">
        <v>0.12609999999999999</v>
      </c>
      <c r="F525">
        <v>0</v>
      </c>
      <c r="G525">
        <v>4.9705000000000004</v>
      </c>
      <c r="H525">
        <v>313</v>
      </c>
      <c r="I525">
        <v>416</v>
      </c>
      <c r="J525">
        <v>150.27000000000001</v>
      </c>
      <c r="K525">
        <v>2</v>
      </c>
    </row>
    <row r="526" spans="1:11" x14ac:dyDescent="0.25">
      <c r="A526" t="s">
        <v>14</v>
      </c>
      <c r="B526">
        <v>94</v>
      </c>
      <c r="C526">
        <v>11</v>
      </c>
      <c r="D526" t="s">
        <v>12</v>
      </c>
      <c r="E526">
        <v>0.14899999999999999</v>
      </c>
      <c r="F526">
        <v>0</v>
      </c>
      <c r="G526">
        <v>4.9705000000000004</v>
      </c>
      <c r="H526">
        <v>313</v>
      </c>
      <c r="I526">
        <v>416</v>
      </c>
      <c r="J526">
        <v>150.27000000000001</v>
      </c>
      <c r="K526">
        <v>2</v>
      </c>
    </row>
    <row r="527" spans="1:11" x14ac:dyDescent="0.25">
      <c r="A527" t="s">
        <v>14</v>
      </c>
      <c r="B527">
        <v>94</v>
      </c>
      <c r="C527">
        <v>12</v>
      </c>
      <c r="D527" t="s">
        <v>12</v>
      </c>
      <c r="E527">
        <v>0.1283</v>
      </c>
      <c r="F527">
        <v>0</v>
      </c>
      <c r="G527">
        <v>4.9705000000000004</v>
      </c>
      <c r="H527">
        <v>313</v>
      </c>
      <c r="I527">
        <v>416</v>
      </c>
      <c r="J527">
        <v>150.27000000000001</v>
      </c>
      <c r="K527">
        <v>2</v>
      </c>
    </row>
    <row r="528" spans="1:11" x14ac:dyDescent="0.25">
      <c r="A528" t="s">
        <v>14</v>
      </c>
      <c r="B528">
        <v>94</v>
      </c>
      <c r="C528">
        <v>13</v>
      </c>
      <c r="D528" t="s">
        <v>12</v>
      </c>
      <c r="E528">
        <v>0.1275</v>
      </c>
      <c r="F528">
        <v>0</v>
      </c>
      <c r="G528">
        <v>4.9705000000000004</v>
      </c>
      <c r="H528">
        <v>313</v>
      </c>
      <c r="I528">
        <v>416</v>
      </c>
      <c r="J528">
        <v>150.27000000000001</v>
      </c>
      <c r="K528">
        <v>2</v>
      </c>
    </row>
    <row r="529" spans="1:12" x14ac:dyDescent="0.25">
      <c r="A529" t="s">
        <v>14</v>
      </c>
      <c r="B529">
        <v>94</v>
      </c>
      <c r="C529">
        <v>14</v>
      </c>
      <c r="D529" t="s">
        <v>12</v>
      </c>
      <c r="E529">
        <v>0.1268</v>
      </c>
      <c r="F529">
        <v>0</v>
      </c>
      <c r="G529">
        <v>4.9705000000000004</v>
      </c>
      <c r="H529">
        <v>313</v>
      </c>
      <c r="I529">
        <v>416</v>
      </c>
      <c r="J529">
        <v>150.27000000000001</v>
      </c>
      <c r="K529">
        <v>2</v>
      </c>
    </row>
    <row r="530" spans="1:12" x14ac:dyDescent="0.25">
      <c r="A530" t="s">
        <v>14</v>
      </c>
      <c r="B530">
        <v>94</v>
      </c>
      <c r="C530">
        <v>15</v>
      </c>
      <c r="D530" t="s">
        <v>12</v>
      </c>
      <c r="E530">
        <v>0.1234</v>
      </c>
      <c r="F530">
        <v>0</v>
      </c>
      <c r="G530">
        <v>4.9705000000000004</v>
      </c>
      <c r="H530">
        <v>313</v>
      </c>
      <c r="I530">
        <v>416</v>
      </c>
      <c r="J530">
        <v>150.27000000000001</v>
      </c>
      <c r="K530">
        <v>2</v>
      </c>
    </row>
    <row r="531" spans="1:12" x14ac:dyDescent="0.25">
      <c r="A531" t="s">
        <v>14</v>
      </c>
      <c r="B531">
        <v>441</v>
      </c>
      <c r="C531">
        <v>1</v>
      </c>
      <c r="D531" t="s">
        <v>12</v>
      </c>
      <c r="E531">
        <v>0.80430000000000001</v>
      </c>
      <c r="F531">
        <v>0.29920000000000002</v>
      </c>
      <c r="G531">
        <v>2.8386999999999998</v>
      </c>
      <c r="H531">
        <v>304</v>
      </c>
      <c r="I531">
        <v>355</v>
      </c>
      <c r="J531" s="1">
        <v>104.58</v>
      </c>
      <c r="K531">
        <v>1</v>
      </c>
    </row>
    <row r="532" spans="1:12" x14ac:dyDescent="0.25">
      <c r="A532" t="s">
        <v>14</v>
      </c>
      <c r="B532">
        <v>441</v>
      </c>
      <c r="C532">
        <v>2</v>
      </c>
      <c r="D532" t="s">
        <v>12</v>
      </c>
      <c r="E532">
        <v>0.73340000000000005</v>
      </c>
      <c r="F532">
        <v>0.25280000000000002</v>
      </c>
      <c r="G532">
        <v>2.8386999999999998</v>
      </c>
      <c r="H532">
        <v>304</v>
      </c>
      <c r="I532">
        <v>355</v>
      </c>
      <c r="J532" s="1">
        <v>104.58</v>
      </c>
      <c r="K532">
        <v>1</v>
      </c>
    </row>
    <row r="533" spans="1:12" x14ac:dyDescent="0.25">
      <c r="A533" t="s">
        <v>14</v>
      </c>
      <c r="B533">
        <v>441</v>
      </c>
      <c r="C533">
        <v>3</v>
      </c>
      <c r="D533" t="s">
        <v>12</v>
      </c>
      <c r="E533">
        <v>0.70050000000000001</v>
      </c>
      <c r="F533">
        <v>0.2571</v>
      </c>
      <c r="G533">
        <v>2.8386999999999998</v>
      </c>
      <c r="H533">
        <v>304</v>
      </c>
      <c r="I533">
        <v>355</v>
      </c>
      <c r="J533" s="1">
        <v>104.58</v>
      </c>
      <c r="K533">
        <v>1</v>
      </c>
      <c r="L533">
        <v>17</v>
      </c>
    </row>
    <row r="534" spans="1:12" x14ac:dyDescent="0.25">
      <c r="A534" t="s">
        <v>14</v>
      </c>
      <c r="B534">
        <v>441</v>
      </c>
      <c r="C534">
        <v>4</v>
      </c>
      <c r="D534" t="s">
        <v>11</v>
      </c>
      <c r="E534">
        <v>0.79690000000000005</v>
      </c>
      <c r="F534">
        <v>0.3412</v>
      </c>
      <c r="G534">
        <v>2.8386999999999998</v>
      </c>
      <c r="H534">
        <v>304</v>
      </c>
      <c r="I534">
        <v>355</v>
      </c>
      <c r="J534" s="1">
        <v>104.58</v>
      </c>
      <c r="K534">
        <v>1</v>
      </c>
      <c r="L534">
        <v>17.8</v>
      </c>
    </row>
    <row r="535" spans="1:12" x14ac:dyDescent="0.25">
      <c r="A535" t="s">
        <v>14</v>
      </c>
      <c r="B535">
        <v>441</v>
      </c>
      <c r="C535">
        <v>5</v>
      </c>
      <c r="D535" t="s">
        <v>11</v>
      </c>
      <c r="E535">
        <v>0.69350000000000001</v>
      </c>
      <c r="F535">
        <v>0.20810000000000001</v>
      </c>
      <c r="G535">
        <v>2.8386999999999998</v>
      </c>
      <c r="H535">
        <v>304</v>
      </c>
      <c r="I535">
        <v>355</v>
      </c>
      <c r="J535" s="1">
        <v>104.58</v>
      </c>
      <c r="K535">
        <v>1</v>
      </c>
    </row>
    <row r="536" spans="1:12" x14ac:dyDescent="0.25">
      <c r="A536" t="s">
        <v>14</v>
      </c>
      <c r="B536">
        <v>441</v>
      </c>
      <c r="C536">
        <v>6</v>
      </c>
      <c r="D536" t="s">
        <v>12</v>
      </c>
      <c r="E536">
        <v>0.6663</v>
      </c>
      <c r="F536">
        <v>0.2152</v>
      </c>
      <c r="G536">
        <v>2.8386999999999998</v>
      </c>
      <c r="H536">
        <v>304</v>
      </c>
      <c r="I536">
        <v>355</v>
      </c>
      <c r="J536" s="1">
        <v>104.58</v>
      </c>
      <c r="K536">
        <v>1</v>
      </c>
    </row>
    <row r="537" spans="1:12" x14ac:dyDescent="0.25">
      <c r="A537" t="s">
        <v>14</v>
      </c>
      <c r="B537">
        <v>441</v>
      </c>
      <c r="C537">
        <v>7</v>
      </c>
      <c r="D537" t="s">
        <v>12</v>
      </c>
      <c r="E537">
        <v>0.71879999999999999</v>
      </c>
      <c r="F537">
        <v>0.30009999999999998</v>
      </c>
      <c r="G537">
        <v>2.8386999999999998</v>
      </c>
      <c r="H537">
        <v>304</v>
      </c>
      <c r="I537">
        <v>355</v>
      </c>
      <c r="J537" s="1">
        <v>104.58</v>
      </c>
      <c r="K537">
        <v>2</v>
      </c>
    </row>
    <row r="538" spans="1:12" x14ac:dyDescent="0.25">
      <c r="A538" t="s">
        <v>14</v>
      </c>
      <c r="B538">
        <v>441</v>
      </c>
      <c r="C538">
        <v>8</v>
      </c>
      <c r="D538" t="s">
        <v>12</v>
      </c>
      <c r="E538">
        <v>0.70909999999999995</v>
      </c>
      <c r="F538">
        <v>0.26550000000000001</v>
      </c>
      <c r="G538">
        <v>2.8386999999999998</v>
      </c>
      <c r="H538">
        <v>304</v>
      </c>
      <c r="I538">
        <v>355</v>
      </c>
      <c r="J538" s="1">
        <v>104.58</v>
      </c>
      <c r="K538">
        <v>2</v>
      </c>
    </row>
    <row r="539" spans="1:12" x14ac:dyDescent="0.25">
      <c r="A539" t="s">
        <v>14</v>
      </c>
      <c r="B539">
        <v>441</v>
      </c>
      <c r="C539">
        <v>9</v>
      </c>
      <c r="D539" t="s">
        <v>12</v>
      </c>
      <c r="E539">
        <v>0.68579999999999997</v>
      </c>
      <c r="F539">
        <v>0.2485</v>
      </c>
      <c r="G539">
        <v>2.8386999999999998</v>
      </c>
      <c r="H539">
        <v>304</v>
      </c>
      <c r="I539">
        <v>355</v>
      </c>
      <c r="J539" s="1">
        <v>104.58</v>
      </c>
      <c r="K539">
        <v>2</v>
      </c>
    </row>
    <row r="540" spans="1:12" x14ac:dyDescent="0.25">
      <c r="A540" t="s">
        <v>14</v>
      </c>
      <c r="B540">
        <v>441</v>
      </c>
      <c r="C540">
        <v>10</v>
      </c>
      <c r="D540" t="s">
        <v>12</v>
      </c>
      <c r="E540">
        <v>0.68440000000000001</v>
      </c>
      <c r="F540">
        <v>0.27739999999999998</v>
      </c>
      <c r="G540">
        <v>2.8386999999999998</v>
      </c>
      <c r="H540">
        <v>304</v>
      </c>
      <c r="I540">
        <v>355</v>
      </c>
      <c r="J540" s="1">
        <v>104.58</v>
      </c>
      <c r="K540">
        <v>2</v>
      </c>
    </row>
    <row r="541" spans="1:12" x14ac:dyDescent="0.25">
      <c r="A541" t="s">
        <v>14</v>
      </c>
      <c r="B541">
        <v>441</v>
      </c>
      <c r="C541">
        <v>12</v>
      </c>
      <c r="D541" t="s">
        <v>12</v>
      </c>
      <c r="E541">
        <v>0.59219999999999995</v>
      </c>
      <c r="F541">
        <v>0.23530000000000001</v>
      </c>
      <c r="G541">
        <v>2.8386999999999998</v>
      </c>
      <c r="H541">
        <v>304</v>
      </c>
      <c r="I541">
        <v>355</v>
      </c>
      <c r="J541" s="1">
        <v>104.58</v>
      </c>
      <c r="K541">
        <v>2</v>
      </c>
    </row>
    <row r="542" spans="1:12" x14ac:dyDescent="0.25">
      <c r="A542" t="s">
        <v>14</v>
      </c>
      <c r="B542">
        <v>441</v>
      </c>
      <c r="C542">
        <v>13</v>
      </c>
      <c r="D542" t="s">
        <v>12</v>
      </c>
      <c r="E542">
        <v>0.54349999999999998</v>
      </c>
      <c r="F542">
        <v>0.2072</v>
      </c>
      <c r="G542">
        <v>2.8386999999999998</v>
      </c>
      <c r="H542">
        <v>304</v>
      </c>
      <c r="I542">
        <v>355</v>
      </c>
      <c r="J542" s="1">
        <v>104.58</v>
      </c>
      <c r="K54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9EDF4-9F29-1A43-90C9-F29D14BFCE66}">
  <dimension ref="A1:D17"/>
  <sheetViews>
    <sheetView zoomScale="88" workbookViewId="0">
      <selection activeCell="E15" sqref="E15"/>
    </sheetView>
  </sheetViews>
  <sheetFormatPr defaultColWidth="11" defaultRowHeight="15.75" x14ac:dyDescent="0.25"/>
  <cols>
    <col min="2" max="2" width="18.375" customWidth="1"/>
    <col min="3" max="3" width="12.5" customWidth="1"/>
  </cols>
  <sheetData>
    <row r="1" spans="1:4" x14ac:dyDescent="0.25">
      <c r="A1" t="s">
        <v>18</v>
      </c>
      <c r="B1" t="s">
        <v>16</v>
      </c>
      <c r="C1" t="s">
        <v>17</v>
      </c>
      <c r="D1" s="3"/>
    </row>
    <row r="2" spans="1:4" x14ac:dyDescent="0.25">
      <c r="A2" t="s">
        <v>14</v>
      </c>
      <c r="B2">
        <f>28.94+45.18+16.82+22.69+25.45+21.97+42.94+46.65+18.69+65.74+22.42+98.92+72.79+74.73+35.93</f>
        <v>639.86</v>
      </c>
      <c r="C2">
        <v>104.10000000000001</v>
      </c>
    </row>
    <row r="3" spans="1:4" x14ac:dyDescent="0.25">
      <c r="A3" t="s">
        <v>13</v>
      </c>
      <c r="B3">
        <f>SUM(B5:B17)</f>
        <v>605.28</v>
      </c>
      <c r="C3">
        <f>SUM(C5:C17)</f>
        <v>141.36000000000001</v>
      </c>
    </row>
    <row r="5" spans="1:4" x14ac:dyDescent="0.25">
      <c r="A5">
        <v>131</v>
      </c>
      <c r="B5">
        <v>76.5</v>
      </c>
      <c r="C5">
        <v>16.55</v>
      </c>
    </row>
    <row r="6" spans="1:4" x14ac:dyDescent="0.25">
      <c r="A6">
        <v>58</v>
      </c>
      <c r="B6">
        <v>55.25</v>
      </c>
      <c r="C6">
        <v>11.38</v>
      </c>
    </row>
    <row r="7" spans="1:4" x14ac:dyDescent="0.25">
      <c r="A7">
        <v>107</v>
      </c>
      <c r="B7">
        <v>15.22</v>
      </c>
      <c r="C7">
        <v>27.47</v>
      </c>
    </row>
    <row r="8" spans="1:4" x14ac:dyDescent="0.25">
      <c r="A8">
        <v>80</v>
      </c>
      <c r="B8">
        <v>20.2</v>
      </c>
      <c r="C8">
        <v>2.85</v>
      </c>
    </row>
    <row r="9" spans="1:4" x14ac:dyDescent="0.25">
      <c r="A9">
        <v>13</v>
      </c>
      <c r="B9">
        <v>9.02</v>
      </c>
      <c r="C9">
        <v>1.28</v>
      </c>
    </row>
    <row r="10" spans="1:4" x14ac:dyDescent="0.25">
      <c r="A10">
        <v>109</v>
      </c>
      <c r="B10">
        <v>94.68</v>
      </c>
      <c r="C10">
        <v>24.74</v>
      </c>
    </row>
    <row r="11" spans="1:4" x14ac:dyDescent="0.25">
      <c r="A11">
        <v>102</v>
      </c>
      <c r="B11">
        <v>63.18</v>
      </c>
      <c r="C11">
        <v>9.75</v>
      </c>
    </row>
    <row r="12" spans="1:4" x14ac:dyDescent="0.25">
      <c r="A12">
        <v>120</v>
      </c>
      <c r="B12">
        <v>46.32</v>
      </c>
      <c r="C12">
        <v>8.98</v>
      </c>
    </row>
    <row r="13" spans="1:4" x14ac:dyDescent="0.25">
      <c r="A13">
        <v>127</v>
      </c>
      <c r="B13">
        <v>79.83</v>
      </c>
      <c r="C13">
        <v>19.2</v>
      </c>
    </row>
    <row r="14" spans="1:4" x14ac:dyDescent="0.25">
      <c r="A14">
        <v>42</v>
      </c>
      <c r="B14">
        <v>5.3</v>
      </c>
      <c r="C14">
        <v>0.68</v>
      </c>
    </row>
    <row r="15" spans="1:4" x14ac:dyDescent="0.25">
      <c r="A15">
        <v>28</v>
      </c>
      <c r="B15">
        <v>23.4</v>
      </c>
      <c r="C15">
        <v>3.05</v>
      </c>
    </row>
    <row r="16" spans="1:4" x14ac:dyDescent="0.25">
      <c r="A16">
        <v>63</v>
      </c>
      <c r="B16">
        <v>50.46</v>
      </c>
      <c r="C16">
        <v>3.72</v>
      </c>
    </row>
    <row r="17" spans="1:3" x14ac:dyDescent="0.25">
      <c r="A17">
        <v>111</v>
      </c>
      <c r="B17">
        <v>65.92</v>
      </c>
      <c r="C17">
        <v>11.71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Pup Masses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Shane Heschel</cp:lastModifiedBy>
  <dcterms:created xsi:type="dcterms:W3CDTF">2022-01-13T04:19:34Z</dcterms:created>
  <dcterms:modified xsi:type="dcterms:W3CDTF">2022-01-20T19:53:09Z</dcterms:modified>
</cp:coreProperties>
</file>